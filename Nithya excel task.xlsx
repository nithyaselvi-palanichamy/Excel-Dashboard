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9EAB873E-163C-4B01-B2E8-ACB4616AA6C9}" xr6:coauthVersionLast="47" xr6:coauthVersionMax="47" xr10:uidLastSave="{00000000-0000-0000-0000-000000000000}"/>
  <bookViews>
    <workbookView xWindow="12" yWindow="24" windowWidth="20148" windowHeight="11976" activeTab="1" xr2:uid="{00000000-000D-0000-FFFF-FFFF00000000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2" i="4" l="1"/>
  <c r="F41" i="4"/>
  <c r="F40" i="4"/>
  <c r="F39" i="4"/>
  <c r="F18" i="4" a="1"/>
  <c r="F18" i="4" s="1"/>
  <c r="E18" i="4" a="1"/>
  <c r="E18" i="4" s="1"/>
  <c r="D18" i="4" a="1"/>
  <c r="D18" i="4" s="1"/>
  <c r="C18" i="4" a="1"/>
  <c r="C18" i="4" s="1"/>
  <c r="B18" i="4" a="1"/>
  <c r="B18" i="4" s="1"/>
  <c r="A18" i="4" a="1"/>
  <c r="A18" i="4" s="1"/>
  <c r="C13" i="4"/>
  <c r="C15" i="4" l="1"/>
  <c r="C16" i="4"/>
  <c r="E16" i="4"/>
  <c r="C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<sst xmlns="http://schemas.openxmlformats.org/spreadsheetml/2006/main" count="437" uniqueCount="168">
  <si>
    <t>Invoice No</t>
  </si>
  <si>
    <t>Name</t>
  </si>
  <si>
    <t>Product</t>
  </si>
  <si>
    <t>Category</t>
  </si>
  <si>
    <t>Quantity</t>
  </si>
  <si>
    <t>Amount</t>
  </si>
  <si>
    <t>Date</t>
  </si>
  <si>
    <t>INV001</t>
  </si>
  <si>
    <t>Arun Kumar</t>
  </si>
  <si>
    <t>Laptop</t>
  </si>
  <si>
    <t>Electronics</t>
  </si>
  <si>
    <t>INV002</t>
  </si>
  <si>
    <t>Divya S</t>
  </si>
  <si>
    <t>Mobile Phone</t>
  </si>
  <si>
    <t>INV003</t>
  </si>
  <si>
    <t>Ravi M</t>
  </si>
  <si>
    <t>Printer</t>
  </si>
  <si>
    <t>INV004</t>
  </si>
  <si>
    <t>Meena R</t>
  </si>
  <si>
    <t>Sofa</t>
  </si>
  <si>
    <t>Furniture</t>
  </si>
  <si>
    <t>INV005</t>
  </si>
  <si>
    <t>Karthik P</t>
  </si>
  <si>
    <t>Tablet</t>
  </si>
  <si>
    <t>INV006</t>
  </si>
  <si>
    <t>Smart Watch</t>
  </si>
  <si>
    <t>INV007</t>
  </si>
  <si>
    <t>Headphones</t>
  </si>
  <si>
    <t>INV008</t>
  </si>
  <si>
    <t>Router</t>
  </si>
  <si>
    <t>INV009</t>
  </si>
  <si>
    <t>Office Desk</t>
  </si>
  <si>
    <t>INV010</t>
  </si>
  <si>
    <t>INV012</t>
  </si>
  <si>
    <t>Office Chair</t>
  </si>
  <si>
    <t>INV013</t>
  </si>
  <si>
    <t>INV014</t>
  </si>
  <si>
    <t>Bookshelf</t>
  </si>
  <si>
    <t>INV015</t>
  </si>
  <si>
    <t>INV016</t>
  </si>
  <si>
    <t>INV017</t>
  </si>
  <si>
    <t>INV018</t>
  </si>
  <si>
    <t>INV019</t>
  </si>
  <si>
    <t>INV020</t>
  </si>
  <si>
    <t>INV021</t>
  </si>
  <si>
    <t>INV023</t>
  </si>
  <si>
    <t>INV024</t>
  </si>
  <si>
    <t>INV025</t>
  </si>
  <si>
    <t>INV026</t>
  </si>
  <si>
    <t>INV027</t>
  </si>
  <si>
    <t>INV028</t>
  </si>
  <si>
    <t>Monitor</t>
  </si>
  <si>
    <t>INV029</t>
  </si>
  <si>
    <t>INV030</t>
  </si>
  <si>
    <t>INV031</t>
  </si>
  <si>
    <t>INV032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</si>
  <si>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</si>
  <si>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</si>
  <si>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</si>
  <si>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</si>
  <si>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</si>
  <si>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</si>
  <si>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</si>
  <si>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</si>
  <si>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</si>
  <si>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</si>
  <si>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</si>
  <si>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</si>
  <si>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</si>
  <si>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</si>
  <si>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</si>
  <si>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</si>
  <si>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</si>
  <si>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</si>
  <si>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</si>
  <si>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</si>
  <si>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</si>
  <si>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</si>
  <si>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</si>
  <si>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</si>
  <si>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</si>
  <si>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</si>
  <si>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</si>
  <si>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</si>
  <si>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</si>
  <si>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</si>
  <si>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INV067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</si>
  <si>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</si>
  <si>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</si>
  <si>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</si>
  <si>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</si>
  <si>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</si>
  <si>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</si>
  <si>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</si>
  <si>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</si>
  <si>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</si>
  <si>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</si>
  <si>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</si>
  <si>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</si>
  <si>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</si>
  <si>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</si>
  <si>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</si>
  <si>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</si>
  <si>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</si>
  <si>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</si>
  <si>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</si>
  <si>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INV089</t>
  </si>
  <si>
    <t>INV090</t>
  </si>
  <si>
    <t>INV091</t>
  </si>
  <si>
    <t>INV092</t>
  </si>
  <si>
    <t>INV093</t>
  </si>
  <si>
    <t>INV094</t>
  </si>
  <si>
    <t>INV095</t>
  </si>
  <si>
    <t>INV096</t>
  </si>
  <si>
    <t>INV097</t>
  </si>
  <si>
    <t>INV098</t>
  </si>
  <si>
    <t>INV100</t>
  </si>
  <si>
    <t>Rockfort Temple, Tiruchirappalli</t>
  </si>
  <si>
    <t>XXXXX9457</t>
  </si>
  <si>
    <t>33RTYUI7845H8</t>
  </si>
  <si>
    <t>karthi@gmail.com</t>
  </si>
  <si>
    <t>Srirangam, Trichy</t>
  </si>
  <si>
    <t>XXXXX8745</t>
  </si>
  <si>
    <t>33KJHG9514G4</t>
  </si>
  <si>
    <t>meena@gmail.com</t>
  </si>
  <si>
    <t>KK Nagar, Trichy</t>
  </si>
  <si>
    <t>XXXXX3187</t>
  </si>
  <si>
    <t>33KOEVY2587U8</t>
  </si>
  <si>
    <t>ravi@gmail.com</t>
  </si>
  <si>
    <t>Chatram Bus Stand, Tiruchirappalli</t>
  </si>
  <si>
    <t>XXXXX4875</t>
  </si>
  <si>
    <t>33FQPNB9437J3</t>
  </si>
  <si>
    <t>divya@gmail.com</t>
  </si>
  <si>
    <t>Central Bus Stand, Tiruchirappalli</t>
  </si>
  <si>
    <t>XXXXX4587</t>
  </si>
  <si>
    <t>33VTEDF3648L5</t>
  </si>
  <si>
    <t>arun@gamil.com</t>
  </si>
  <si>
    <t>Address</t>
  </si>
  <si>
    <t>PAN NO</t>
  </si>
  <si>
    <t>GST IN</t>
  </si>
  <si>
    <t>Email lD</t>
  </si>
  <si>
    <t>PAN NO:</t>
  </si>
  <si>
    <t>Total Purchase</t>
  </si>
  <si>
    <t>Email Id:</t>
  </si>
  <si>
    <t>GSTIN:</t>
  </si>
  <si>
    <t>Email Id:                         nammakadai@gmail.com</t>
  </si>
  <si>
    <t>GSTIN:                                  33PFREW94587T8</t>
  </si>
  <si>
    <t>Date:</t>
  </si>
  <si>
    <t>PayMent Mode:</t>
  </si>
  <si>
    <t>Address:</t>
  </si>
  <si>
    <t>Terms &amp; Conditions:</t>
  </si>
  <si>
    <t>1.Payment must be completed on time.</t>
  </si>
  <si>
    <t>3.Services depend on availability.</t>
  </si>
  <si>
    <t>2.Users must provide correct detailes.</t>
  </si>
  <si>
    <t>4.Terms may change anytime.</t>
  </si>
  <si>
    <t>Total Amount in Word</t>
  </si>
  <si>
    <t>Sub Total</t>
  </si>
  <si>
    <t>Tax Value</t>
  </si>
  <si>
    <t>Discount Rate</t>
  </si>
  <si>
    <t>Total</t>
  </si>
  <si>
    <t>Signature</t>
  </si>
  <si>
    <t>Bill no:                              98193</t>
  </si>
  <si>
    <t>Cheque</t>
  </si>
  <si>
    <t>Trichy,</t>
  </si>
  <si>
    <t>Tamil Nadu - 620018</t>
  </si>
  <si>
    <t xml:space="preserve">Address: </t>
  </si>
  <si>
    <t>Thillai Nagar,</t>
  </si>
  <si>
    <t>Namma Kadai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</si>
</sst>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\ * #,##0_ ;_ &quot;₹&quot;\ * \-#,##0_ ;_ &quot;₹&quot;\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name val="Aptos Narrow"/>
      <family val="2"/>
      <scheme val="minor"/>
    </font>
    <font>
      <b/>
      <sz val="3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2" xfId="0" applyFont="1" applyBorder="1"/>
    <xf numFmtId="14" fontId="3" fillId="0" borderId="3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/>
    <xf numFmtId="14" fontId="3" fillId="0" borderId="9" xfId="0" applyNumberFormat="1" applyFont="1" applyBorder="1"/>
    <xf numFmtId="0" fontId="0" fillId="0" borderId="0" xfId="0" applyAlignment="1"/>
    <xf numFmtId="0" fontId="4" fillId="5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 applyAlignment="1">
      <alignment horizontal="right" vertical="center"/>
    </xf>
    <xf numFmtId="0" fontId="4" fillId="5" borderId="5" xfId="0" applyFont="1" applyFill="1" applyBorder="1" applyAlignment="1">
      <alignment horizontal="center"/>
    </xf>
    <xf numFmtId="0" fontId="3" fillId="0" borderId="8" xfId="0" applyFont="1" applyBorder="1" applyAlignment="1"/>
    <xf numFmtId="0" fontId="3" fillId="0" borderId="14" xfId="0" applyFont="1" applyBorder="1"/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vertical="top" wrapText="1"/>
    </xf>
    <xf numFmtId="0" fontId="3" fillId="0" borderId="11" xfId="0" applyFont="1" applyBorder="1" applyAlignment="1">
      <alignment horizontal="right" wrapText="1"/>
    </xf>
    <xf numFmtId="0" fontId="3" fillId="0" borderId="12" xfId="0" applyFont="1" applyBorder="1" applyAlignment="1">
      <alignment horizontal="right" vertical="top" wrapText="1"/>
    </xf>
    <xf numFmtId="0" fontId="3" fillId="0" borderId="6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2" fillId="6" borderId="1" xfId="0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6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8" fillId="7" borderId="9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164" fontId="0" fillId="4" borderId="8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_ &quot;₹&quot;\ * #,##0_ ;_ &quot;₹&quot;\ * \-#,##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</xdr:row>
      <xdr:rowOff>12700</xdr:rowOff>
    </xdr:from>
    <xdr:to>
      <xdr:col>5</xdr:col>
      <xdr:colOff>960120</xdr:colOff>
      <xdr:row>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3" t="1194" r="5961" b="-1194"/>
        <a:stretch/>
      </xdr:blipFill>
      <xdr:spPr>
        <a:xfrm>
          <a:off x="2945130" y="713740"/>
          <a:ext cx="2929890" cy="1035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450850</xdr:colOff>
      <xdr:row>44</xdr:row>
      <xdr:rowOff>19050</xdr:rowOff>
    </xdr:from>
    <xdr:to>
      <xdr:col>2</xdr:col>
      <xdr:colOff>571500</xdr:colOff>
      <xdr:row>48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lum bright="70000" contrast="-70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403" t="1194" r="5961" b="-1194"/>
        <a:stretch/>
      </xdr:blipFill>
      <xdr:spPr>
        <a:xfrm>
          <a:off x="450850" y="7683500"/>
          <a:ext cx="2063750" cy="704850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0</xdr:row>
      <xdr:rowOff>0</xdr:rowOff>
    </xdr:from>
    <xdr:to>
      <xdr:col>5</xdr:col>
      <xdr:colOff>868680</xdr:colOff>
      <xdr:row>3</xdr:row>
      <xdr:rowOff>129540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FB60B989-EBFB-465A-8DAB-C54283FC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953000" y="0"/>
          <a:ext cx="830580" cy="65532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56217</xdr:rowOff>
    </xdr:from>
    <xdr:to>
      <xdr:col>0</xdr:col>
      <xdr:colOff>918210</xdr:colOff>
      <xdr:row>3</xdr:row>
      <xdr:rowOff>137712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EADD80-AC89-436C-86EB-11189A6EFF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27917" b="70990" l="18750" r="77708">
                      <a14:foregroundMark x1="40449" y1="28869" x2="41128" y2="28885"/>
                      <a14:foregroundMark x1="29115" y1="28594" x2="39246" y2="28839"/>
                      <a14:foregroundMark x1="37708" y1="28802" x2="28949" y2="43336"/>
                      <a14:foregroundMark x1="27815" y1="44220" x2="19635" y2="43490"/>
                      <a14:foregroundMark x1="19635" y1="43490" x2="23229" y2="35625"/>
                      <a14:foregroundMark x1="23229" y1="35625" x2="29583" y2="29896"/>
                      <a14:foregroundMark x1="29583" y1="29896" x2="37276" y2="28146"/>
                      <a14:foregroundMark x1="37258" y1="28116" x2="36146" y2="28333"/>
                      <a14:foregroundMark x1="21667" y1="37240" x2="20625" y2="43229"/>
                      <a14:foregroundMark x1="18750" y1="40417" x2="19271" y2="43229"/>
                      <a14:foregroundMark x1="40392" y1="30149" x2="37188" y2="37240"/>
                      <a14:foregroundMark x1="41094" y1="28594" x2="40416" y2="30095"/>
                      <a14:foregroundMark x1="37188" y1="37240" x2="43802" y2="43958"/>
                      <a14:foregroundMark x1="43802" y1="43958" x2="48177" y2="36198"/>
                      <a14:foregroundMark x1="48177" y1="36198" x2="45885" y2="28177"/>
                      <a14:foregroundMark x1="45885" y1="28177" x2="38594" y2="35104"/>
                      <a14:foregroundMark x1="38594" y1="35104" x2="41771" y2="29010"/>
                      <a14:foregroundMark x1="51458" y1="28438" x2="59688" y2="30000"/>
                      <a14:foregroundMark x1="60086" y1="30797" x2="64271" y2="39167"/>
                      <a14:foregroundMark x1="59688" y1="30000" x2="60043" y2="30709"/>
                      <a14:foregroundMark x1="64271" y1="39167" x2="58906" y2="44817"/>
                      <a14:foregroundMark x1="57535" y1="44675" x2="51458" y2="39740"/>
                      <a14:foregroundMark x1="51458" y1="39740" x2="51458" y2="29115"/>
                      <a14:foregroundMark x1="62102" y1="28194" x2="70174" y2="28363"/>
                      <a14:foregroundMark x1="71625" y1="28894" x2="77760" y2="36198"/>
                      <a14:foregroundMark x1="77760" y1="36198" x2="75990" y2="44583"/>
                      <a14:foregroundMark x1="75990" y1="44583" x2="67865" y2="40729"/>
                      <a14:foregroundMark x1="67865" y1="40729" x2="65812" y2="36993"/>
                      <a14:foregroundMark x1="31205" y1="45514" x2="30938" y2="45585"/>
                      <a14:foregroundMark x1="22760" y1="47760" x2="25338" y2="47074"/>
                      <a14:foregroundMark x1="39940" y1="47060" x2="42656" y2="47760"/>
                      <a14:foregroundMark x1="42656" y1="47760" x2="52083" y2="46979"/>
                      <a14:foregroundMark x1="52083" y1="46979" x2="62135" y2="47865"/>
                      <a14:foregroundMark x1="62135" y1="47865" x2="70521" y2="46510"/>
                      <a14:foregroundMark x1="70521" y1="46510" x2="77396" y2="51250"/>
                      <a14:foregroundMark x1="77396" y1="51250" x2="75833" y2="70677"/>
                      <a14:foregroundMark x1="75833" y1="70677" x2="68281" y2="66719"/>
                      <a14:foregroundMark x1="68281" y1="66719" x2="68281" y2="58281"/>
                      <a14:foregroundMark x1="63291" y1="53413" x2="61927" y2="52083"/>
                      <a14:foregroundMark x1="57208" y1="57218" x2="55990" y2="58542"/>
                      <a14:foregroundMark x1="61927" y1="52083" x2="61672" y2="52360"/>
                      <a14:foregroundMark x1="55990" y1="58542" x2="56250" y2="68906"/>
                      <a14:foregroundMark x1="56250" y1="68906" x2="46615" y2="71823"/>
                      <a14:foregroundMark x1="46615" y1="71823" x2="27708" y2="70990"/>
                      <a14:foregroundMark x1="27708" y1="70990" x2="22922" y2="65113"/>
                      <a14:foregroundMark x1="22920" y1="54176" x2="27969" y2="48854"/>
                      <a14:foregroundMark x1="27969" y1="48854" x2="45131" y2="52804"/>
                      <a14:foregroundMark x1="47097" y1="61435" x2="47188" y2="62396"/>
                      <a14:foregroundMark x1="47188" y1="62396" x2="37865" y2="62917"/>
                      <a14:foregroundMark x1="37865" y1="62917" x2="36840" y2="61947"/>
                      <a14:backgroundMark x1="61042" y1="30208" x2="65833" y2="36979"/>
                      <a14:backgroundMark x1="70729" y1="27813" x2="71927" y2="28594"/>
                      <a14:backgroundMark x1="61979" y1="28073" x2="61042" y2="28698"/>
                      <a14:backgroundMark x1="38958" y1="27813" x2="36979" y2="27656"/>
                      <a14:backgroundMark x1="39896" y1="29010" x2="38958" y2="28177"/>
                      <a14:backgroundMark x1="39375" y1="29010" x2="39740" y2="26979"/>
                      <a14:backgroundMark x1="21823" y1="53333" x2="21719" y2="61979"/>
                      <a14:backgroundMark x1="21719" y1="61979" x2="22604" y2="61042"/>
                      <a14:backgroundMark x1="22083" y1="61146" x2="22448" y2="65156"/>
                      <a14:backgroundMark x1="37760" y1="61563" x2="31094" y2="56094"/>
                      <a14:backgroundMark x1="31094" y1="56094" x2="35781" y2="53438"/>
                      <a14:backgroundMark x1="32708" y1="54010" x2="31771" y2="56510"/>
                      <a14:backgroundMark x1="45104" y1="52812" x2="47969" y2="61146"/>
                      <a14:backgroundMark x1="47969" y1="61146" x2="47760" y2="61719"/>
                      <a14:backgroundMark x1="35521" y1="60625" x2="35521" y2="61302"/>
                      <a14:backgroundMark x1="32865" y1="58490" x2="36979" y2="61823"/>
                      <a14:backgroundMark x1="32031" y1="54635" x2="33385" y2="58646"/>
                      <a14:backgroundMark x1="32708" y1="55052" x2="37083" y2="52240"/>
                      <a14:backgroundMark x1="24844" y1="45208" x2="25260" y2="45208"/>
                      <a14:backgroundMark x1="25521" y1="46667" x2="28594" y2="44271"/>
                      <a14:backgroundMark x1="28594" y1="44271" x2="28594" y2="44271"/>
                      <a14:backgroundMark x1="30990" y1="45365" x2="30469" y2="45990"/>
                      <a14:backgroundMark x1="30312" y1="45885" x2="25781" y2="46927"/>
                      <a14:backgroundMark x1="32708" y1="44792" x2="39115" y2="45469"/>
                      <a14:backgroundMark x1="36823" y1="45729" x2="40313" y2="46563"/>
                      <a14:backgroundMark x1="57292" y1="45104" x2="58906" y2="44792"/>
                      <a14:backgroundMark x1="59427" y1="45469" x2="57865" y2="45990"/>
                      <a14:backgroundMark x1="57604" y1="57865" x2="57865" y2="56927"/>
                      <a14:backgroundMark x1="61719" y1="53177" x2="59583" y2="53854"/>
                      <a14:backgroundMark x1="58385" y1="54896" x2="58802" y2="55469"/>
                      <a14:backgroundMark x1="58229" y1="56667" x2="57292" y2="55313"/>
                      <a14:backgroundMark x1="60781" y1="53073" x2="68229" y2="57917"/>
                      <a14:backgroundMark x1="68229" y1="57917" x2="67031" y2="57188"/>
                      <a14:backgroundMark x1="63438" y1="53333" x2="62917" y2="52812"/>
                      <a14:backgroundMark x1="59167" y1="55729" x2="57292" y2="57292"/>
                      <a14:backgroundMark x1="63021" y1="54375" x2="62344" y2="52656"/>
                      <a14:backgroundMark x1="38854" y1="29010" x2="40052" y2="293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356" t="26861" r="17154" b="27262"/>
        <a:stretch/>
      </xdr:blipFill>
      <xdr:spPr>
        <a:xfrm>
          <a:off x="38100" y="56217"/>
          <a:ext cx="880110" cy="607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92" totalsRowShown="0" headerRowDxfId="11" dataDxfId="9" headerRowBorderDxfId="10" tableBorderDxfId="8" totalsRowBorderDxfId="7">
  <autoFilter ref="A1:G92" xr:uid="{00000000-0009-0000-0100-000001000000}"/>
  <tableColumns count="7">
    <tableColumn id="1" xr3:uid="{00000000-0010-0000-0000-000001000000}" name="Invoice No" dataDxfId="6"/>
    <tableColumn id="2" xr3:uid="{00000000-0010-0000-0000-000002000000}" name="Name" dataDxfId="5"/>
    <tableColumn id="3" xr3:uid="{00000000-0010-0000-0000-000003000000}" name="Product" dataDxfId="4"/>
    <tableColumn id="4" xr3:uid="{00000000-0010-0000-0000-000004000000}" name="Category" dataDxfId="3"/>
    <tableColumn id="5" xr3:uid="{00000000-0010-0000-0000-000005000000}" name="Quantity" dataDxfId="2"/>
    <tableColumn id="6" xr3:uid="{00000000-0010-0000-0000-000006000000}" name="Amount" dataDxfId="1"/>
    <tableColumn id="7" xr3:uid="{00000000-0010-0000-0000-000007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opLeftCell="A65" workbookViewId="0">
      <selection activeCell="C4" sqref="C4:C90"/>
    </sheetView>
  </sheetViews>
  <sheetFormatPr defaultRowHeight="13.8"/>
  <cols>
    <col min="1" max="2" width="15.5" customWidth="1"/>
    <col min="3" max="3" width="16" customWidth="1"/>
    <col min="4" max="4" width="15.296875" customWidth="1"/>
    <col min="5" max="5" width="11.8984375" customWidth="1"/>
    <col min="6" max="7" width="14.19921875" customWidth="1"/>
    <col min="10" max="10" width="10.09765625" bestFit="1" customWidth="1"/>
    <col min="11" max="11" width="16.5" bestFit="1" customWidth="1"/>
    <col min="12" max="12" width="14.69921875" bestFit="1" customWidth="1"/>
    <col min="13" max="13" width="9.796875" bestFit="1" customWidth="1"/>
    <col min="14" max="14" width="29" bestFit="1" customWidth="1"/>
  </cols>
  <sheetData>
    <row r="1" spans="1:1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14">
      <c r="A2" s="5" t="s">
        <v>7</v>
      </c>
      <c r="B2" s="3" t="s">
        <v>8</v>
      </c>
      <c r="C2" s="3" t="s">
        <v>9</v>
      </c>
      <c r="D2" s="3" t="s">
        <v>10</v>
      </c>
      <c r="E2" s="3">
        <v>1</v>
      </c>
      <c r="F2" s="4">
        <v>55000</v>
      </c>
      <c r="G2" s="6">
        <v>45296</v>
      </c>
    </row>
    <row r="3" spans="1:14">
      <c r="A3" s="5" t="s">
        <v>11</v>
      </c>
      <c r="B3" s="3" t="s">
        <v>12</v>
      </c>
      <c r="C3" s="3" t="s">
        <v>13</v>
      </c>
      <c r="D3" s="3" t="s">
        <v>10</v>
      </c>
      <c r="E3" s="3">
        <v>2</v>
      </c>
      <c r="F3" s="4">
        <v>36000</v>
      </c>
      <c r="G3" s="6">
        <v>45297</v>
      </c>
      <c r="J3" s="2" t="s">
        <v>1</v>
      </c>
      <c r="K3" s="2" t="s">
        <v>140</v>
      </c>
      <c r="L3" s="2" t="s">
        <v>139</v>
      </c>
      <c r="M3" s="2" t="s">
        <v>138</v>
      </c>
      <c r="N3" s="2" t="s">
        <v>137</v>
      </c>
    </row>
    <row r="4" spans="1:14">
      <c r="A4" s="5" t="s">
        <v>14</v>
      </c>
      <c r="B4" s="3" t="s">
        <v>15</v>
      </c>
      <c r="C4" s="3" t="s">
        <v>16</v>
      </c>
      <c r="D4" s="3" t="s">
        <v>10</v>
      </c>
      <c r="E4" s="3">
        <v>1</v>
      </c>
      <c r="F4" s="4">
        <v>9500</v>
      </c>
      <c r="G4" s="6">
        <v>45298</v>
      </c>
      <c r="J4" s="1" t="s">
        <v>8</v>
      </c>
      <c r="K4" s="1" t="s">
        <v>136</v>
      </c>
      <c r="L4" s="1" t="s">
        <v>135</v>
      </c>
      <c r="M4" s="1" t="s">
        <v>134</v>
      </c>
      <c r="N4" s="1" t="s">
        <v>133</v>
      </c>
    </row>
    <row r="5" spans="1:14">
      <c r="A5" s="5" t="s">
        <v>17</v>
      </c>
      <c r="B5" s="3" t="s">
        <v>18</v>
      </c>
      <c r="C5" s="3" t="s">
        <v>19</v>
      </c>
      <c r="D5" s="3" t="s">
        <v>20</v>
      </c>
      <c r="E5" s="3">
        <v>1</v>
      </c>
      <c r="F5" s="4">
        <v>25000</v>
      </c>
      <c r="G5" s="6">
        <v>45299</v>
      </c>
      <c r="J5" s="1" t="s">
        <v>12</v>
      </c>
      <c r="K5" s="1" t="s">
        <v>132</v>
      </c>
      <c r="L5" s="1" t="s">
        <v>131</v>
      </c>
      <c r="M5" s="1" t="s">
        <v>130</v>
      </c>
      <c r="N5" s="1" t="s">
        <v>129</v>
      </c>
    </row>
    <row r="6" spans="1:14">
      <c r="A6" s="5" t="s">
        <v>21</v>
      </c>
      <c r="B6" s="3" t="s">
        <v>22</v>
      </c>
      <c r="C6" s="3" t="s">
        <v>23</v>
      </c>
      <c r="D6" s="3" t="s">
        <v>10</v>
      </c>
      <c r="E6" s="3">
        <v>2</v>
      </c>
      <c r="F6" s="4">
        <v>44000</v>
      </c>
      <c r="G6" s="6">
        <v>45300</v>
      </c>
      <c r="J6" s="1" t="s">
        <v>15</v>
      </c>
      <c r="K6" s="1" t="s">
        <v>128</v>
      </c>
      <c r="L6" s="1" t="s">
        <v>127</v>
      </c>
      <c r="M6" s="1" t="s">
        <v>126</v>
      </c>
      <c r="N6" s="1" t="s">
        <v>125</v>
      </c>
    </row>
    <row r="7" spans="1:14">
      <c r="A7" s="5" t="s">
        <v>24</v>
      </c>
      <c r="B7" s="3" t="s">
        <v>8</v>
      </c>
      <c r="C7" s="3" t="s">
        <v>25</v>
      </c>
      <c r="D7" s="3" t="s">
        <v>10</v>
      </c>
      <c r="E7" s="3">
        <v>2</v>
      </c>
      <c r="F7" s="4">
        <v>16000</v>
      </c>
      <c r="G7" s="6">
        <v>45301</v>
      </c>
      <c r="J7" s="1" t="s">
        <v>18</v>
      </c>
      <c r="K7" s="1" t="s">
        <v>124</v>
      </c>
      <c r="L7" s="1" t="s">
        <v>123</v>
      </c>
      <c r="M7" s="1" t="s">
        <v>122</v>
      </c>
      <c r="N7" s="1" t="s">
        <v>121</v>
      </c>
    </row>
    <row r="8" spans="1:14">
      <c r="A8" s="5" t="s">
        <v>26</v>
      </c>
      <c r="B8" s="3" t="s">
        <v>12</v>
      </c>
      <c r="C8" s="3" t="s">
        <v>27</v>
      </c>
      <c r="D8" s="3" t="s">
        <v>10</v>
      </c>
      <c r="E8" s="3">
        <v>3</v>
      </c>
      <c r="F8" s="4">
        <v>4500</v>
      </c>
      <c r="G8" s="6">
        <v>45302</v>
      </c>
      <c r="J8" s="1" t="s">
        <v>22</v>
      </c>
      <c r="K8" s="1" t="s">
        <v>120</v>
      </c>
      <c r="L8" s="1" t="s">
        <v>119</v>
      </c>
      <c r="M8" s="1" t="s">
        <v>118</v>
      </c>
      <c r="N8" s="1" t="s">
        <v>117</v>
      </c>
    </row>
    <row r="9" spans="1:14">
      <c r="A9" s="5" t="s">
        <v>28</v>
      </c>
      <c r="B9" s="3" t="s">
        <v>15</v>
      </c>
      <c r="C9" s="3" t="s">
        <v>29</v>
      </c>
      <c r="D9" s="3" t="s">
        <v>10</v>
      </c>
      <c r="E9" s="3">
        <v>2</v>
      </c>
      <c r="F9" s="4">
        <v>5000</v>
      </c>
      <c r="G9" s="6">
        <v>45303</v>
      </c>
    </row>
    <row r="10" spans="1:14">
      <c r="A10" s="5" t="s">
        <v>30</v>
      </c>
      <c r="B10" s="3" t="s">
        <v>18</v>
      </c>
      <c r="C10" s="3" t="s">
        <v>31</v>
      </c>
      <c r="D10" s="3" t="s">
        <v>20</v>
      </c>
      <c r="E10" s="3">
        <v>1</v>
      </c>
      <c r="F10" s="4">
        <v>10000</v>
      </c>
      <c r="G10" s="6">
        <v>45304</v>
      </c>
    </row>
    <row r="11" spans="1:14">
      <c r="A11" s="5" t="s">
        <v>32</v>
      </c>
      <c r="B11" s="3" t="s">
        <v>22</v>
      </c>
      <c r="C11" s="3" t="s">
        <v>9</v>
      </c>
      <c r="D11" s="3" t="s">
        <v>10</v>
      </c>
      <c r="E11" s="3">
        <v>1</v>
      </c>
      <c r="F11" s="4">
        <v>55000</v>
      </c>
      <c r="G11" s="6">
        <v>45305</v>
      </c>
    </row>
    <row r="12" spans="1:14">
      <c r="A12" s="5" t="s">
        <v>33</v>
      </c>
      <c r="B12" s="3" t="s">
        <v>8</v>
      </c>
      <c r="C12" s="3" t="s">
        <v>34</v>
      </c>
      <c r="D12" s="3" t="s">
        <v>20</v>
      </c>
      <c r="E12" s="3">
        <v>2</v>
      </c>
      <c r="F12" s="4">
        <v>9000</v>
      </c>
      <c r="G12" s="6">
        <v>45307</v>
      </c>
    </row>
    <row r="13" spans="1:14">
      <c r="A13" s="5" t="s">
        <v>35</v>
      </c>
      <c r="B13" s="3" t="s">
        <v>12</v>
      </c>
      <c r="C13" s="3" t="s">
        <v>23</v>
      </c>
      <c r="D13" s="3" t="s">
        <v>10</v>
      </c>
      <c r="E13" s="3">
        <v>1</v>
      </c>
      <c r="F13" s="4">
        <v>22000</v>
      </c>
      <c r="G13" s="6">
        <v>45308</v>
      </c>
    </row>
    <row r="14" spans="1:14">
      <c r="A14" s="5" t="s">
        <v>36</v>
      </c>
      <c r="B14" s="3" t="s">
        <v>18</v>
      </c>
      <c r="C14" s="3" t="s">
        <v>37</v>
      </c>
      <c r="D14" s="3" t="s">
        <v>20</v>
      </c>
      <c r="E14" s="3">
        <v>2</v>
      </c>
      <c r="F14" s="4">
        <v>12000</v>
      </c>
      <c r="G14" s="6">
        <v>45309</v>
      </c>
    </row>
    <row r="15" spans="1:14">
      <c r="A15" s="5" t="s">
        <v>38</v>
      </c>
      <c r="B15" s="3" t="s">
        <v>22</v>
      </c>
      <c r="C15" s="3" t="s">
        <v>25</v>
      </c>
      <c r="D15" s="3" t="s">
        <v>10</v>
      </c>
      <c r="E15" s="3">
        <v>3</v>
      </c>
      <c r="F15" s="4">
        <v>24000</v>
      </c>
      <c r="G15" s="6">
        <v>45310</v>
      </c>
    </row>
    <row r="16" spans="1:14">
      <c r="A16" s="5" t="s">
        <v>39</v>
      </c>
      <c r="B16" s="3" t="s">
        <v>8</v>
      </c>
      <c r="C16" s="3" t="s">
        <v>9</v>
      </c>
      <c r="D16" s="3" t="s">
        <v>10</v>
      </c>
      <c r="E16" s="3">
        <v>1</v>
      </c>
      <c r="F16" s="4">
        <v>55000</v>
      </c>
      <c r="G16" s="6">
        <v>45311</v>
      </c>
    </row>
    <row r="17" spans="1:7">
      <c r="A17" s="5" t="s">
        <v>40</v>
      </c>
      <c r="B17" s="3" t="s">
        <v>12</v>
      </c>
      <c r="C17" s="3" t="s">
        <v>13</v>
      </c>
      <c r="D17" s="3" t="s">
        <v>10</v>
      </c>
      <c r="E17" s="3">
        <v>1</v>
      </c>
      <c r="F17" s="4">
        <v>18000</v>
      </c>
      <c r="G17" s="6">
        <v>45312</v>
      </c>
    </row>
    <row r="18" spans="1:7">
      <c r="A18" s="5" t="s">
        <v>41</v>
      </c>
      <c r="B18" s="3" t="s">
        <v>15</v>
      </c>
      <c r="C18" s="3" t="s">
        <v>16</v>
      </c>
      <c r="D18" s="3" t="s">
        <v>10</v>
      </c>
      <c r="E18" s="3">
        <v>2</v>
      </c>
      <c r="F18" s="4">
        <v>19000</v>
      </c>
      <c r="G18" s="6">
        <v>45313</v>
      </c>
    </row>
    <row r="19" spans="1:7">
      <c r="A19" s="5" t="s">
        <v>42</v>
      </c>
      <c r="B19" s="3" t="s">
        <v>18</v>
      </c>
      <c r="C19" s="3" t="s">
        <v>19</v>
      </c>
      <c r="D19" s="3" t="s">
        <v>20</v>
      </c>
      <c r="E19" s="3">
        <v>1</v>
      </c>
      <c r="F19" s="4">
        <v>27000</v>
      </c>
      <c r="G19" s="6">
        <v>45314</v>
      </c>
    </row>
    <row r="20" spans="1:7">
      <c r="A20" s="5" t="s">
        <v>43</v>
      </c>
      <c r="B20" s="3" t="s">
        <v>22</v>
      </c>
      <c r="C20" s="3" t="s">
        <v>23</v>
      </c>
      <c r="D20" s="3" t="s">
        <v>10</v>
      </c>
      <c r="E20" s="3">
        <v>1</v>
      </c>
      <c r="F20" s="4">
        <v>22000</v>
      </c>
      <c r="G20" s="6">
        <v>45315</v>
      </c>
    </row>
    <row r="21" spans="1:7">
      <c r="A21" s="5" t="s">
        <v>44</v>
      </c>
      <c r="B21" s="3" t="s">
        <v>8</v>
      </c>
      <c r="C21" s="3" t="s">
        <v>27</v>
      </c>
      <c r="D21" s="3" t="s">
        <v>10</v>
      </c>
      <c r="E21" s="3">
        <v>2</v>
      </c>
      <c r="F21" s="4">
        <v>3000</v>
      </c>
      <c r="G21" s="6">
        <v>45316</v>
      </c>
    </row>
    <row r="22" spans="1:7">
      <c r="A22" s="5" t="s">
        <v>45</v>
      </c>
      <c r="B22" s="3" t="s">
        <v>15</v>
      </c>
      <c r="C22" s="3" t="s">
        <v>29</v>
      </c>
      <c r="D22" s="3" t="s">
        <v>10</v>
      </c>
      <c r="E22" s="3">
        <v>3</v>
      </c>
      <c r="F22" s="4">
        <v>7500</v>
      </c>
      <c r="G22" s="6">
        <v>45318</v>
      </c>
    </row>
    <row r="23" spans="1:7">
      <c r="A23" s="5" t="s">
        <v>46</v>
      </c>
      <c r="B23" s="3" t="s">
        <v>18</v>
      </c>
      <c r="C23" s="3" t="s">
        <v>31</v>
      </c>
      <c r="D23" s="3" t="s">
        <v>20</v>
      </c>
      <c r="E23" s="3">
        <v>1</v>
      </c>
      <c r="F23" s="4">
        <v>10000</v>
      </c>
      <c r="G23" s="6">
        <v>45319</v>
      </c>
    </row>
    <row r="24" spans="1:7">
      <c r="A24" s="5" t="s">
        <v>47</v>
      </c>
      <c r="B24" s="3" t="s">
        <v>22</v>
      </c>
      <c r="C24" s="3" t="s">
        <v>9</v>
      </c>
      <c r="D24" s="3" t="s">
        <v>10</v>
      </c>
      <c r="E24" s="3">
        <v>2</v>
      </c>
      <c r="F24" s="4">
        <v>110000</v>
      </c>
      <c r="G24" s="6">
        <v>45320</v>
      </c>
    </row>
    <row r="25" spans="1:7">
      <c r="A25" s="5" t="s">
        <v>48</v>
      </c>
      <c r="B25" s="3" t="s">
        <v>8</v>
      </c>
      <c r="C25" s="3" t="s">
        <v>23</v>
      </c>
      <c r="D25" s="3" t="s">
        <v>10</v>
      </c>
      <c r="E25" s="3">
        <v>1</v>
      </c>
      <c r="F25" s="4">
        <v>22000</v>
      </c>
      <c r="G25" s="6">
        <v>45321</v>
      </c>
    </row>
    <row r="26" spans="1:7">
      <c r="A26" s="5" t="s">
        <v>49</v>
      </c>
      <c r="B26" s="3" t="s">
        <v>12</v>
      </c>
      <c r="C26" s="3" t="s">
        <v>27</v>
      </c>
      <c r="D26" s="3" t="s">
        <v>10</v>
      </c>
      <c r="E26" s="3">
        <v>2</v>
      </c>
      <c r="F26" s="4">
        <v>3000</v>
      </c>
      <c r="G26" s="6">
        <v>45322</v>
      </c>
    </row>
    <row r="27" spans="1:7">
      <c r="A27" s="5" t="s">
        <v>50</v>
      </c>
      <c r="B27" s="3" t="s">
        <v>15</v>
      </c>
      <c r="C27" s="3" t="s">
        <v>51</v>
      </c>
      <c r="D27" s="3" t="s">
        <v>10</v>
      </c>
      <c r="E27" s="3">
        <v>1</v>
      </c>
      <c r="F27" s="4">
        <v>12000</v>
      </c>
      <c r="G27" s="6">
        <v>45323</v>
      </c>
    </row>
    <row r="28" spans="1:7">
      <c r="A28" s="5" t="s">
        <v>52</v>
      </c>
      <c r="B28" s="3" t="s">
        <v>18</v>
      </c>
      <c r="C28" s="3" t="s">
        <v>37</v>
      </c>
      <c r="D28" s="3" t="s">
        <v>20</v>
      </c>
      <c r="E28" s="3">
        <v>1</v>
      </c>
      <c r="F28" s="4">
        <v>6000</v>
      </c>
      <c r="G28" s="6">
        <v>45324</v>
      </c>
    </row>
    <row r="29" spans="1:7">
      <c r="A29" s="5" t="s">
        <v>53</v>
      </c>
      <c r="B29" s="3" t="s">
        <v>22</v>
      </c>
      <c r="C29" s="3" t="s">
        <v>25</v>
      </c>
      <c r="D29" s="3" t="s">
        <v>10</v>
      </c>
      <c r="E29" s="3">
        <v>2</v>
      </c>
      <c r="F29" s="4">
        <v>16000</v>
      </c>
      <c r="G29" s="6">
        <v>45325</v>
      </c>
    </row>
    <row r="30" spans="1:7">
      <c r="A30" s="5" t="s">
        <v>54</v>
      </c>
      <c r="B30" s="3" t="s">
        <v>12</v>
      </c>
      <c r="C30" s="3" t="s">
        <v>13</v>
      </c>
      <c r="D30" s="3" t="s">
        <v>10</v>
      </c>
      <c r="E30" s="3">
        <v>2</v>
      </c>
      <c r="F30" s="4">
        <v>36000</v>
      </c>
      <c r="G30" s="6">
        <v>45326</v>
      </c>
    </row>
    <row r="31" spans="1:7">
      <c r="A31" s="5" t="s">
        <v>55</v>
      </c>
      <c r="B31" s="3" t="s">
        <v>15</v>
      </c>
      <c r="C31" s="3" t="s">
        <v>16</v>
      </c>
      <c r="D31" s="3" t="s">
        <v>10</v>
      </c>
      <c r="E31" s="3">
        <v>1</v>
      </c>
      <c r="F31" s="4">
        <v>9500</v>
      </c>
      <c r="G31" s="6">
        <v>45327</v>
      </c>
    </row>
    <row r="32" spans="1:7">
      <c r="A32" s="5" t="s">
        <v>56</v>
      </c>
      <c r="B32" s="3" t="s">
        <v>22</v>
      </c>
      <c r="C32" s="3" t="s">
        <v>23</v>
      </c>
      <c r="D32" s="3" t="s">
        <v>10</v>
      </c>
      <c r="E32" s="3">
        <v>2</v>
      </c>
      <c r="F32" s="4">
        <v>44000</v>
      </c>
      <c r="G32" s="6">
        <v>45329</v>
      </c>
    </row>
    <row r="33" spans="1:7">
      <c r="A33" s="5" t="s">
        <v>57</v>
      </c>
      <c r="B33" s="3" t="s">
        <v>8</v>
      </c>
      <c r="C33" s="3" t="s">
        <v>9</v>
      </c>
      <c r="D33" s="3" t="s">
        <v>10</v>
      </c>
      <c r="E33" s="3">
        <v>1</v>
      </c>
      <c r="F33" s="4">
        <v>55000</v>
      </c>
      <c r="G33" s="6">
        <v>45330</v>
      </c>
    </row>
    <row r="34" spans="1:7">
      <c r="A34" s="5" t="s">
        <v>58</v>
      </c>
      <c r="B34" s="3" t="s">
        <v>12</v>
      </c>
      <c r="C34" s="3" t="s">
        <v>27</v>
      </c>
      <c r="D34" s="3" t="s">
        <v>10</v>
      </c>
      <c r="E34" s="3">
        <v>3</v>
      </c>
      <c r="F34" s="4">
        <v>4500</v>
      </c>
      <c r="G34" s="6">
        <v>45331</v>
      </c>
    </row>
    <row r="35" spans="1:7">
      <c r="A35" s="5" t="s">
        <v>59</v>
      </c>
      <c r="B35" s="3" t="s">
        <v>15</v>
      </c>
      <c r="C35" s="3" t="s">
        <v>29</v>
      </c>
      <c r="D35" s="3" t="s">
        <v>10</v>
      </c>
      <c r="E35" s="3">
        <v>2</v>
      </c>
      <c r="F35" s="4">
        <v>5000</v>
      </c>
      <c r="G35" s="6">
        <v>45332</v>
      </c>
    </row>
    <row r="36" spans="1:7">
      <c r="A36" s="5" t="s">
        <v>60</v>
      </c>
      <c r="B36" s="3" t="s">
        <v>18</v>
      </c>
      <c r="C36" s="3" t="s">
        <v>31</v>
      </c>
      <c r="D36" s="3" t="s">
        <v>20</v>
      </c>
      <c r="E36" s="3">
        <v>1</v>
      </c>
      <c r="F36" s="4">
        <v>10000</v>
      </c>
      <c r="G36" s="6">
        <v>45333</v>
      </c>
    </row>
    <row r="37" spans="1:7">
      <c r="A37" s="5" t="s">
        <v>61</v>
      </c>
      <c r="B37" s="3" t="s">
        <v>22</v>
      </c>
      <c r="C37" s="3" t="s">
        <v>9</v>
      </c>
      <c r="D37" s="3" t="s">
        <v>10</v>
      </c>
      <c r="E37" s="3">
        <v>1</v>
      </c>
      <c r="F37" s="4">
        <v>55000</v>
      </c>
      <c r="G37" s="6">
        <v>45334</v>
      </c>
    </row>
    <row r="38" spans="1:7">
      <c r="A38" s="5" t="s">
        <v>62</v>
      </c>
      <c r="B38" s="3" t="s">
        <v>8</v>
      </c>
      <c r="C38" s="3" t="s">
        <v>25</v>
      </c>
      <c r="D38" s="3" t="s">
        <v>10</v>
      </c>
      <c r="E38" s="3">
        <v>2</v>
      </c>
      <c r="F38" s="4">
        <v>16000</v>
      </c>
      <c r="G38" s="6">
        <v>45335</v>
      </c>
    </row>
    <row r="39" spans="1:7">
      <c r="A39" s="5" t="s">
        <v>63</v>
      </c>
      <c r="B39" s="3" t="s">
        <v>15</v>
      </c>
      <c r="C39" s="3" t="s">
        <v>51</v>
      </c>
      <c r="D39" s="3" t="s">
        <v>10</v>
      </c>
      <c r="E39" s="3">
        <v>2</v>
      </c>
      <c r="F39" s="4">
        <v>24000</v>
      </c>
      <c r="G39" s="6">
        <v>45336</v>
      </c>
    </row>
    <row r="40" spans="1:7">
      <c r="A40" s="5" t="s">
        <v>64</v>
      </c>
      <c r="B40" s="3" t="s">
        <v>12</v>
      </c>
      <c r="C40" s="3" t="s">
        <v>23</v>
      </c>
      <c r="D40" s="3" t="s">
        <v>10</v>
      </c>
      <c r="E40" s="3">
        <v>1</v>
      </c>
      <c r="F40" s="4">
        <v>22000</v>
      </c>
      <c r="G40" s="6">
        <v>45337</v>
      </c>
    </row>
    <row r="41" spans="1:7">
      <c r="A41" s="5" t="s">
        <v>65</v>
      </c>
      <c r="B41" s="3" t="s">
        <v>18</v>
      </c>
      <c r="C41" s="3" t="s">
        <v>37</v>
      </c>
      <c r="D41" s="3" t="s">
        <v>20</v>
      </c>
      <c r="E41" s="3">
        <v>2</v>
      </c>
      <c r="F41" s="4">
        <v>12000</v>
      </c>
      <c r="G41" s="6">
        <v>45338</v>
      </c>
    </row>
    <row r="42" spans="1:7">
      <c r="A42" s="5" t="s">
        <v>66</v>
      </c>
      <c r="B42" s="3" t="s">
        <v>8</v>
      </c>
      <c r="C42" s="3" t="s">
        <v>9</v>
      </c>
      <c r="D42" s="3" t="s">
        <v>10</v>
      </c>
      <c r="E42" s="3">
        <v>1</v>
      </c>
      <c r="F42" s="4">
        <v>55000</v>
      </c>
      <c r="G42" s="6">
        <v>45340</v>
      </c>
    </row>
    <row r="43" spans="1:7">
      <c r="A43" s="5" t="s">
        <v>67</v>
      </c>
      <c r="B43" s="3" t="s">
        <v>12</v>
      </c>
      <c r="C43" s="3" t="s">
        <v>13</v>
      </c>
      <c r="D43" s="3" t="s">
        <v>10</v>
      </c>
      <c r="E43" s="3">
        <v>1</v>
      </c>
      <c r="F43" s="4">
        <v>18000</v>
      </c>
      <c r="G43" s="6">
        <v>45341</v>
      </c>
    </row>
    <row r="44" spans="1:7">
      <c r="A44" s="5" t="s">
        <v>68</v>
      </c>
      <c r="B44" s="3" t="s">
        <v>15</v>
      </c>
      <c r="C44" s="3" t="s">
        <v>16</v>
      </c>
      <c r="D44" s="3" t="s">
        <v>10</v>
      </c>
      <c r="E44" s="3">
        <v>2</v>
      </c>
      <c r="F44" s="4">
        <v>19000</v>
      </c>
      <c r="G44" s="6">
        <v>45342</v>
      </c>
    </row>
    <row r="45" spans="1:7">
      <c r="A45" s="5" t="s">
        <v>69</v>
      </c>
      <c r="B45" s="3" t="s">
        <v>18</v>
      </c>
      <c r="C45" s="3" t="s">
        <v>19</v>
      </c>
      <c r="D45" s="3" t="s">
        <v>20</v>
      </c>
      <c r="E45" s="3">
        <v>1</v>
      </c>
      <c r="F45" s="4">
        <v>27000</v>
      </c>
      <c r="G45" s="6">
        <v>45343</v>
      </c>
    </row>
    <row r="46" spans="1:7">
      <c r="A46" s="5" t="s">
        <v>70</v>
      </c>
      <c r="B46" s="3" t="s">
        <v>22</v>
      </c>
      <c r="C46" s="3" t="s">
        <v>23</v>
      </c>
      <c r="D46" s="3" t="s">
        <v>10</v>
      </c>
      <c r="E46" s="3">
        <v>1</v>
      </c>
      <c r="F46" s="4">
        <v>22000</v>
      </c>
      <c r="G46" s="6">
        <v>45344</v>
      </c>
    </row>
    <row r="47" spans="1:7">
      <c r="A47" s="5" t="s">
        <v>71</v>
      </c>
      <c r="B47" s="3" t="s">
        <v>8</v>
      </c>
      <c r="C47" s="3" t="s">
        <v>27</v>
      </c>
      <c r="D47" s="3" t="s">
        <v>10</v>
      </c>
      <c r="E47" s="3">
        <v>2</v>
      </c>
      <c r="F47" s="4">
        <v>3000</v>
      </c>
      <c r="G47" s="6">
        <v>45345</v>
      </c>
    </row>
    <row r="48" spans="1:7">
      <c r="A48" s="5" t="s">
        <v>72</v>
      </c>
      <c r="B48" s="3" t="s">
        <v>12</v>
      </c>
      <c r="C48" s="3" t="s">
        <v>25</v>
      </c>
      <c r="D48" s="3" t="s">
        <v>10</v>
      </c>
      <c r="E48" s="3">
        <v>1</v>
      </c>
      <c r="F48" s="4">
        <v>8000</v>
      </c>
      <c r="G48" s="6">
        <v>45346</v>
      </c>
    </row>
    <row r="49" spans="1:7">
      <c r="A49" s="5" t="s">
        <v>73</v>
      </c>
      <c r="B49" s="3" t="s">
        <v>15</v>
      </c>
      <c r="C49" s="3" t="s">
        <v>29</v>
      </c>
      <c r="D49" s="3" t="s">
        <v>10</v>
      </c>
      <c r="E49" s="3">
        <v>3</v>
      </c>
      <c r="F49" s="4">
        <v>7500</v>
      </c>
      <c r="G49" s="6">
        <v>45347</v>
      </c>
    </row>
    <row r="50" spans="1:7">
      <c r="A50" s="5" t="s">
        <v>74</v>
      </c>
      <c r="B50" s="3" t="s">
        <v>18</v>
      </c>
      <c r="C50" s="3" t="s">
        <v>31</v>
      </c>
      <c r="D50" s="3" t="s">
        <v>20</v>
      </c>
      <c r="E50" s="3">
        <v>1</v>
      </c>
      <c r="F50" s="4">
        <v>10000</v>
      </c>
      <c r="G50" s="6">
        <v>45348</v>
      </c>
    </row>
    <row r="51" spans="1:7">
      <c r="A51" s="5" t="s">
        <v>75</v>
      </c>
      <c r="B51" s="3" t="s">
        <v>22</v>
      </c>
      <c r="C51" s="3" t="s">
        <v>9</v>
      </c>
      <c r="D51" s="3" t="s">
        <v>10</v>
      </c>
      <c r="E51" s="3">
        <v>2</v>
      </c>
      <c r="F51" s="4">
        <v>110000</v>
      </c>
      <c r="G51" s="6">
        <v>45349</v>
      </c>
    </row>
    <row r="52" spans="1:7">
      <c r="A52" s="5" t="s">
        <v>76</v>
      </c>
      <c r="B52" s="3" t="s">
        <v>12</v>
      </c>
      <c r="C52" s="3" t="s">
        <v>27</v>
      </c>
      <c r="D52" s="3" t="s">
        <v>10</v>
      </c>
      <c r="E52" s="3">
        <v>2</v>
      </c>
      <c r="F52" s="4">
        <v>3000</v>
      </c>
      <c r="G52" s="6">
        <v>45352</v>
      </c>
    </row>
    <row r="53" spans="1:7">
      <c r="A53" s="5" t="s">
        <v>77</v>
      </c>
      <c r="B53" s="3" t="s">
        <v>15</v>
      </c>
      <c r="C53" s="3" t="s">
        <v>51</v>
      </c>
      <c r="D53" s="3" t="s">
        <v>10</v>
      </c>
      <c r="E53" s="3">
        <v>1</v>
      </c>
      <c r="F53" s="4">
        <v>12000</v>
      </c>
      <c r="G53" s="6">
        <v>45353</v>
      </c>
    </row>
    <row r="54" spans="1:7">
      <c r="A54" s="5" t="s">
        <v>78</v>
      </c>
      <c r="B54" s="3" t="s">
        <v>18</v>
      </c>
      <c r="C54" s="3" t="s">
        <v>37</v>
      </c>
      <c r="D54" s="3" t="s">
        <v>20</v>
      </c>
      <c r="E54" s="3">
        <v>1</v>
      </c>
      <c r="F54" s="4">
        <v>6000</v>
      </c>
      <c r="G54" s="6">
        <v>45354</v>
      </c>
    </row>
    <row r="55" spans="1:7">
      <c r="A55" s="5" t="s">
        <v>79</v>
      </c>
      <c r="B55" s="3" t="s">
        <v>22</v>
      </c>
      <c r="C55" s="3" t="s">
        <v>25</v>
      </c>
      <c r="D55" s="3" t="s">
        <v>10</v>
      </c>
      <c r="E55" s="3">
        <v>2</v>
      </c>
      <c r="F55" s="4">
        <v>16000</v>
      </c>
      <c r="G55" s="6">
        <v>45355</v>
      </c>
    </row>
    <row r="56" spans="1:7">
      <c r="A56" s="5" t="s">
        <v>80</v>
      </c>
      <c r="B56" s="3" t="s">
        <v>8</v>
      </c>
      <c r="C56" s="3" t="s">
        <v>9</v>
      </c>
      <c r="D56" s="3" t="s">
        <v>10</v>
      </c>
      <c r="E56" s="3">
        <v>1</v>
      </c>
      <c r="F56" s="4">
        <v>55000</v>
      </c>
      <c r="G56" s="6">
        <v>45356</v>
      </c>
    </row>
    <row r="57" spans="1:7">
      <c r="A57" s="5" t="s">
        <v>81</v>
      </c>
      <c r="B57" s="3" t="s">
        <v>12</v>
      </c>
      <c r="C57" s="3" t="s">
        <v>13</v>
      </c>
      <c r="D57" s="3" t="s">
        <v>10</v>
      </c>
      <c r="E57" s="3">
        <v>2</v>
      </c>
      <c r="F57" s="4">
        <v>36000</v>
      </c>
      <c r="G57" s="6">
        <v>45357</v>
      </c>
    </row>
    <row r="58" spans="1:7">
      <c r="A58" s="5" t="s">
        <v>82</v>
      </c>
      <c r="B58" s="3" t="s">
        <v>15</v>
      </c>
      <c r="C58" s="3" t="s">
        <v>16</v>
      </c>
      <c r="D58" s="3" t="s">
        <v>10</v>
      </c>
      <c r="E58" s="3">
        <v>1</v>
      </c>
      <c r="F58" s="4">
        <v>9500</v>
      </c>
      <c r="G58" s="6">
        <v>45358</v>
      </c>
    </row>
    <row r="59" spans="1:7">
      <c r="A59" s="5" t="s">
        <v>83</v>
      </c>
      <c r="B59" s="3" t="s">
        <v>18</v>
      </c>
      <c r="C59" s="3" t="s">
        <v>19</v>
      </c>
      <c r="D59" s="3" t="s">
        <v>20</v>
      </c>
      <c r="E59" s="3">
        <v>1</v>
      </c>
      <c r="F59" s="4">
        <v>25000</v>
      </c>
      <c r="G59" s="6">
        <v>45359</v>
      </c>
    </row>
    <row r="60" spans="1:7">
      <c r="A60" s="5" t="s">
        <v>84</v>
      </c>
      <c r="B60" s="3" t="s">
        <v>22</v>
      </c>
      <c r="C60" s="3" t="s">
        <v>23</v>
      </c>
      <c r="D60" s="3" t="s">
        <v>10</v>
      </c>
      <c r="E60" s="3">
        <v>2</v>
      </c>
      <c r="F60" s="4">
        <v>44000</v>
      </c>
      <c r="G60" s="6">
        <v>45360</v>
      </c>
    </row>
    <row r="61" spans="1:7">
      <c r="A61" s="5" t="s">
        <v>85</v>
      </c>
      <c r="B61" s="3" t="s">
        <v>8</v>
      </c>
      <c r="C61" s="3" t="s">
        <v>9</v>
      </c>
      <c r="D61" s="3" t="s">
        <v>10</v>
      </c>
      <c r="E61" s="3">
        <v>1</v>
      </c>
      <c r="F61" s="4">
        <v>55000</v>
      </c>
      <c r="G61" s="6">
        <v>45361</v>
      </c>
    </row>
    <row r="62" spans="1:7">
      <c r="A62" s="5" t="s">
        <v>86</v>
      </c>
      <c r="B62" s="3" t="s">
        <v>15</v>
      </c>
      <c r="C62" s="3" t="s">
        <v>29</v>
      </c>
      <c r="D62" s="3" t="s">
        <v>10</v>
      </c>
      <c r="E62" s="3">
        <v>2</v>
      </c>
      <c r="F62" s="4">
        <v>5000</v>
      </c>
      <c r="G62" s="6">
        <v>45363</v>
      </c>
    </row>
    <row r="63" spans="1:7">
      <c r="A63" s="5" t="s">
        <v>87</v>
      </c>
      <c r="B63" s="3" t="s">
        <v>18</v>
      </c>
      <c r="C63" s="3" t="s">
        <v>31</v>
      </c>
      <c r="D63" s="3" t="s">
        <v>20</v>
      </c>
      <c r="E63" s="3">
        <v>1</v>
      </c>
      <c r="F63" s="4">
        <v>10000</v>
      </c>
      <c r="G63" s="6">
        <v>45364</v>
      </c>
    </row>
    <row r="64" spans="1:7">
      <c r="A64" s="5" t="s">
        <v>88</v>
      </c>
      <c r="B64" s="3" t="s">
        <v>22</v>
      </c>
      <c r="C64" s="3" t="s">
        <v>9</v>
      </c>
      <c r="D64" s="3" t="s">
        <v>10</v>
      </c>
      <c r="E64" s="3">
        <v>1</v>
      </c>
      <c r="F64" s="4">
        <v>55000</v>
      </c>
      <c r="G64" s="6">
        <v>45365</v>
      </c>
    </row>
    <row r="65" spans="1:7">
      <c r="A65" s="5" t="s">
        <v>89</v>
      </c>
      <c r="B65" s="3" t="s">
        <v>8</v>
      </c>
      <c r="C65" s="3" t="s">
        <v>25</v>
      </c>
      <c r="D65" s="3" t="s">
        <v>10</v>
      </c>
      <c r="E65" s="3">
        <v>2</v>
      </c>
      <c r="F65" s="4">
        <v>16000</v>
      </c>
      <c r="G65" s="6">
        <v>45366</v>
      </c>
    </row>
    <row r="66" spans="1:7">
      <c r="A66" s="5" t="s">
        <v>90</v>
      </c>
      <c r="B66" s="3" t="s">
        <v>15</v>
      </c>
      <c r="C66" s="3" t="s">
        <v>51</v>
      </c>
      <c r="D66" s="3" t="s">
        <v>10</v>
      </c>
      <c r="E66" s="3">
        <v>2</v>
      </c>
      <c r="F66" s="4">
        <v>24000</v>
      </c>
      <c r="G66" s="6">
        <v>45367</v>
      </c>
    </row>
    <row r="67" spans="1:7">
      <c r="A67" s="5" t="s">
        <v>91</v>
      </c>
      <c r="B67" s="3" t="s">
        <v>12</v>
      </c>
      <c r="C67" s="3" t="s">
        <v>23</v>
      </c>
      <c r="D67" s="3" t="s">
        <v>10</v>
      </c>
      <c r="E67" s="3">
        <v>1</v>
      </c>
      <c r="F67" s="4">
        <v>22000</v>
      </c>
      <c r="G67" s="6">
        <v>45368</v>
      </c>
    </row>
    <row r="68" spans="1:7">
      <c r="A68" s="5" t="s">
        <v>92</v>
      </c>
      <c r="B68" s="3" t="s">
        <v>18</v>
      </c>
      <c r="C68" s="3" t="s">
        <v>37</v>
      </c>
      <c r="D68" s="3" t="s">
        <v>20</v>
      </c>
      <c r="E68" s="3">
        <v>2</v>
      </c>
      <c r="F68" s="4">
        <v>12000</v>
      </c>
      <c r="G68" s="6">
        <v>45369</v>
      </c>
    </row>
    <row r="69" spans="1:7">
      <c r="A69" s="5" t="s">
        <v>93</v>
      </c>
      <c r="B69" s="3" t="s">
        <v>22</v>
      </c>
      <c r="C69" s="3" t="s">
        <v>25</v>
      </c>
      <c r="D69" s="3" t="s">
        <v>10</v>
      </c>
      <c r="E69" s="3">
        <v>3</v>
      </c>
      <c r="F69" s="4">
        <v>24000</v>
      </c>
      <c r="G69" s="6">
        <v>45370</v>
      </c>
    </row>
    <row r="70" spans="1:7">
      <c r="A70" s="5" t="s">
        <v>94</v>
      </c>
      <c r="B70" s="3" t="s">
        <v>8</v>
      </c>
      <c r="C70" s="3" t="s">
        <v>9</v>
      </c>
      <c r="D70" s="3" t="s">
        <v>10</v>
      </c>
      <c r="E70" s="3">
        <v>1</v>
      </c>
      <c r="F70" s="4">
        <v>55000</v>
      </c>
      <c r="G70" s="6">
        <v>45371</v>
      </c>
    </row>
    <row r="71" spans="1:7">
      <c r="A71" s="5" t="s">
        <v>95</v>
      </c>
      <c r="B71" s="3" t="s">
        <v>12</v>
      </c>
      <c r="C71" s="3" t="s">
        <v>13</v>
      </c>
      <c r="D71" s="3" t="s">
        <v>10</v>
      </c>
      <c r="E71" s="3">
        <v>1</v>
      </c>
      <c r="F71" s="4">
        <v>18000</v>
      </c>
      <c r="G71" s="6">
        <v>45372</v>
      </c>
    </row>
    <row r="72" spans="1:7">
      <c r="A72" s="5" t="s">
        <v>96</v>
      </c>
      <c r="B72" s="3" t="s">
        <v>18</v>
      </c>
      <c r="C72" s="3" t="s">
        <v>19</v>
      </c>
      <c r="D72" s="3" t="s">
        <v>20</v>
      </c>
      <c r="E72" s="3">
        <v>1</v>
      </c>
      <c r="F72" s="4">
        <v>27000</v>
      </c>
      <c r="G72" s="6">
        <v>45374</v>
      </c>
    </row>
    <row r="73" spans="1:7">
      <c r="A73" s="5" t="s">
        <v>97</v>
      </c>
      <c r="B73" s="3" t="s">
        <v>22</v>
      </c>
      <c r="C73" s="3" t="s">
        <v>23</v>
      </c>
      <c r="D73" s="3" t="s">
        <v>10</v>
      </c>
      <c r="E73" s="3">
        <v>1</v>
      </c>
      <c r="F73" s="4">
        <v>22000</v>
      </c>
      <c r="G73" s="6">
        <v>45375</v>
      </c>
    </row>
    <row r="74" spans="1:7">
      <c r="A74" s="5" t="s">
        <v>98</v>
      </c>
      <c r="B74" s="3" t="s">
        <v>8</v>
      </c>
      <c r="C74" s="3" t="s">
        <v>27</v>
      </c>
      <c r="D74" s="3" t="s">
        <v>10</v>
      </c>
      <c r="E74" s="3">
        <v>2</v>
      </c>
      <c r="F74" s="4">
        <v>3000</v>
      </c>
      <c r="G74" s="6">
        <v>45376</v>
      </c>
    </row>
    <row r="75" spans="1:7">
      <c r="A75" s="5" t="s">
        <v>99</v>
      </c>
      <c r="B75" s="3" t="s">
        <v>12</v>
      </c>
      <c r="C75" s="3" t="s">
        <v>25</v>
      </c>
      <c r="D75" s="3" t="s">
        <v>10</v>
      </c>
      <c r="E75" s="3">
        <v>1</v>
      </c>
      <c r="F75" s="4">
        <v>8000</v>
      </c>
      <c r="G75" s="6">
        <v>45377</v>
      </c>
    </row>
    <row r="76" spans="1:7">
      <c r="A76" s="5" t="s">
        <v>100</v>
      </c>
      <c r="B76" s="3" t="s">
        <v>15</v>
      </c>
      <c r="C76" s="3" t="s">
        <v>29</v>
      </c>
      <c r="D76" s="3" t="s">
        <v>10</v>
      </c>
      <c r="E76" s="3">
        <v>3</v>
      </c>
      <c r="F76" s="4">
        <v>7500</v>
      </c>
      <c r="G76" s="6">
        <v>45378</v>
      </c>
    </row>
    <row r="77" spans="1:7">
      <c r="A77" s="5" t="s">
        <v>101</v>
      </c>
      <c r="B77" s="3" t="s">
        <v>18</v>
      </c>
      <c r="C77" s="3" t="s">
        <v>31</v>
      </c>
      <c r="D77" s="3" t="s">
        <v>20</v>
      </c>
      <c r="E77" s="3">
        <v>1</v>
      </c>
      <c r="F77" s="4">
        <v>10000</v>
      </c>
      <c r="G77" s="6">
        <v>45379</v>
      </c>
    </row>
    <row r="78" spans="1:7">
      <c r="A78" s="5" t="s">
        <v>102</v>
      </c>
      <c r="B78" s="3" t="s">
        <v>22</v>
      </c>
      <c r="C78" s="3" t="s">
        <v>9</v>
      </c>
      <c r="D78" s="3" t="s">
        <v>10</v>
      </c>
      <c r="E78" s="3">
        <v>2</v>
      </c>
      <c r="F78" s="4">
        <v>110000</v>
      </c>
      <c r="G78" s="6">
        <v>45380</v>
      </c>
    </row>
    <row r="79" spans="1:7">
      <c r="A79" s="5" t="s">
        <v>103</v>
      </c>
      <c r="B79" s="3" t="s">
        <v>8</v>
      </c>
      <c r="C79" s="3" t="s">
        <v>23</v>
      </c>
      <c r="D79" s="3" t="s">
        <v>10</v>
      </c>
      <c r="E79" s="3">
        <v>1</v>
      </c>
      <c r="F79" s="4">
        <v>22000</v>
      </c>
      <c r="G79" s="6">
        <v>45381</v>
      </c>
    </row>
    <row r="80" spans="1:7">
      <c r="A80" s="5" t="s">
        <v>104</v>
      </c>
      <c r="B80" s="3" t="s">
        <v>12</v>
      </c>
      <c r="C80" s="3" t="s">
        <v>27</v>
      </c>
      <c r="D80" s="3" t="s">
        <v>10</v>
      </c>
      <c r="E80" s="3">
        <v>2</v>
      </c>
      <c r="F80" s="4">
        <v>3000</v>
      </c>
      <c r="G80" s="6">
        <v>45382</v>
      </c>
    </row>
    <row r="81" spans="1:7">
      <c r="A81" s="5" t="s">
        <v>105</v>
      </c>
      <c r="B81" s="3" t="s">
        <v>15</v>
      </c>
      <c r="C81" s="3" t="s">
        <v>51</v>
      </c>
      <c r="D81" s="3" t="s">
        <v>10</v>
      </c>
      <c r="E81" s="3">
        <v>1</v>
      </c>
      <c r="F81" s="4">
        <v>12000</v>
      </c>
      <c r="G81" s="6">
        <v>45383</v>
      </c>
    </row>
    <row r="82" spans="1:7">
      <c r="A82" s="5" t="s">
        <v>106</v>
      </c>
      <c r="B82" s="3" t="s">
        <v>22</v>
      </c>
      <c r="C82" s="3" t="s">
        <v>25</v>
      </c>
      <c r="D82" s="3" t="s">
        <v>10</v>
      </c>
      <c r="E82" s="3">
        <v>2</v>
      </c>
      <c r="F82" s="4">
        <v>16000</v>
      </c>
      <c r="G82" s="6">
        <v>45385</v>
      </c>
    </row>
    <row r="83" spans="1:7">
      <c r="A83" s="5" t="s">
        <v>107</v>
      </c>
      <c r="B83" s="3" t="s">
        <v>8</v>
      </c>
      <c r="C83" s="3" t="s">
        <v>9</v>
      </c>
      <c r="D83" s="3" t="s">
        <v>10</v>
      </c>
      <c r="E83" s="3">
        <v>1</v>
      </c>
      <c r="F83" s="4">
        <v>55000</v>
      </c>
      <c r="G83" s="6">
        <v>45386</v>
      </c>
    </row>
    <row r="84" spans="1:7">
      <c r="A84" s="5" t="s">
        <v>108</v>
      </c>
      <c r="B84" s="3" t="s">
        <v>12</v>
      </c>
      <c r="C84" s="3" t="s">
        <v>13</v>
      </c>
      <c r="D84" s="3" t="s">
        <v>10</v>
      </c>
      <c r="E84" s="3">
        <v>2</v>
      </c>
      <c r="F84" s="4">
        <v>36000</v>
      </c>
      <c r="G84" s="6">
        <v>45387</v>
      </c>
    </row>
    <row r="85" spans="1:7">
      <c r="A85" s="5" t="s">
        <v>109</v>
      </c>
      <c r="B85" s="3" t="s">
        <v>15</v>
      </c>
      <c r="C85" s="3" t="s">
        <v>16</v>
      </c>
      <c r="D85" s="3" t="s">
        <v>10</v>
      </c>
      <c r="E85" s="3">
        <v>1</v>
      </c>
      <c r="F85" s="4">
        <v>9500</v>
      </c>
      <c r="G85" s="6">
        <v>45388</v>
      </c>
    </row>
    <row r="86" spans="1:7">
      <c r="A86" s="5" t="s">
        <v>110</v>
      </c>
      <c r="B86" s="3" t="s">
        <v>18</v>
      </c>
      <c r="C86" s="3" t="s">
        <v>19</v>
      </c>
      <c r="D86" s="3" t="s">
        <v>20</v>
      </c>
      <c r="E86" s="3">
        <v>1</v>
      </c>
      <c r="F86" s="4">
        <v>25000</v>
      </c>
      <c r="G86" s="6">
        <v>45389</v>
      </c>
    </row>
    <row r="87" spans="1:7">
      <c r="A87" s="5" t="s">
        <v>111</v>
      </c>
      <c r="B87" s="3" t="s">
        <v>22</v>
      </c>
      <c r="C87" s="3" t="s">
        <v>23</v>
      </c>
      <c r="D87" s="3" t="s">
        <v>10</v>
      </c>
      <c r="E87" s="3">
        <v>2</v>
      </c>
      <c r="F87" s="4">
        <v>44000</v>
      </c>
      <c r="G87" s="6">
        <v>45390</v>
      </c>
    </row>
    <row r="88" spans="1:7">
      <c r="A88" s="5" t="s">
        <v>112</v>
      </c>
      <c r="B88" s="3" t="s">
        <v>8</v>
      </c>
      <c r="C88" s="3" t="s">
        <v>9</v>
      </c>
      <c r="D88" s="3" t="s">
        <v>10</v>
      </c>
      <c r="E88" s="3">
        <v>1</v>
      </c>
      <c r="F88" s="4">
        <v>55000</v>
      </c>
      <c r="G88" s="6">
        <v>45391</v>
      </c>
    </row>
    <row r="89" spans="1:7">
      <c r="A89" s="5" t="s">
        <v>113</v>
      </c>
      <c r="B89" s="3" t="s">
        <v>12</v>
      </c>
      <c r="C89" s="3" t="s">
        <v>27</v>
      </c>
      <c r="D89" s="3" t="s">
        <v>10</v>
      </c>
      <c r="E89" s="3">
        <v>3</v>
      </c>
      <c r="F89" s="4">
        <v>4500</v>
      </c>
      <c r="G89" s="6">
        <v>45392</v>
      </c>
    </row>
    <row r="90" spans="1:7">
      <c r="A90" s="5" t="s">
        <v>114</v>
      </c>
      <c r="B90" s="3" t="s">
        <v>15</v>
      </c>
      <c r="C90" s="3" t="s">
        <v>29</v>
      </c>
      <c r="D90" s="3" t="s">
        <v>10</v>
      </c>
      <c r="E90" s="3">
        <v>2</v>
      </c>
      <c r="F90" s="4">
        <v>5000</v>
      </c>
      <c r="G90" s="6">
        <v>45393</v>
      </c>
    </row>
    <row r="91" spans="1:7">
      <c r="A91" s="5" t="s">
        <v>115</v>
      </c>
      <c r="B91" s="3" t="s">
        <v>18</v>
      </c>
      <c r="C91" s="3" t="s">
        <v>31</v>
      </c>
      <c r="D91" s="3" t="s">
        <v>20</v>
      </c>
      <c r="E91" s="3">
        <v>1</v>
      </c>
      <c r="F91" s="4">
        <v>10000</v>
      </c>
      <c r="G91" s="6">
        <v>45394</v>
      </c>
    </row>
    <row r="92" spans="1:7">
      <c r="A92" s="10" t="s">
        <v>116</v>
      </c>
      <c r="B92" s="11" t="s">
        <v>8</v>
      </c>
      <c r="C92" s="11" t="s">
        <v>25</v>
      </c>
      <c r="D92" s="11" t="s">
        <v>10</v>
      </c>
      <c r="E92" s="11">
        <v>2</v>
      </c>
      <c r="F92" s="12">
        <v>16000</v>
      </c>
      <c r="G92" s="13">
        <v>45396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showGridLines="0" showRowColHeaders="0" tabSelected="1" view="pageLayout" zoomScaleNormal="100" workbookViewId="0">
      <selection activeCell="A11" sqref="A11:F11"/>
    </sheetView>
  </sheetViews>
  <sheetFormatPr defaultRowHeight="13.8"/>
  <cols>
    <col min="1" max="4" width="12.5" customWidth="1"/>
    <col min="5" max="5" width="13" customWidth="1"/>
    <col min="6" max="6" width="12.5" customWidth="1"/>
  </cols>
  <sheetData>
    <row r="1" spans="1:6" ht="13.8" customHeight="1">
      <c r="A1" s="48"/>
      <c r="B1" s="51" t="s">
        <v>167</v>
      </c>
      <c r="C1" s="52"/>
      <c r="D1" s="52"/>
      <c r="E1" s="53"/>
      <c r="F1" s="48"/>
    </row>
    <row r="2" spans="1:6" ht="13.95" customHeight="1">
      <c r="A2" s="49"/>
      <c r="B2" s="54"/>
      <c r="C2" s="55"/>
      <c r="D2" s="55"/>
      <c r="E2" s="56"/>
      <c r="F2" s="49"/>
    </row>
    <row r="3" spans="1:6" ht="13.95" customHeight="1">
      <c r="A3" s="49"/>
      <c r="B3" s="54"/>
      <c r="C3" s="55"/>
      <c r="D3" s="55"/>
      <c r="E3" s="56"/>
      <c r="F3" s="49"/>
    </row>
    <row r="4" spans="1:6" ht="13.8" customHeight="1">
      <c r="A4" s="50"/>
      <c r="B4" s="57"/>
      <c r="C4" s="58"/>
      <c r="D4" s="58"/>
      <c r="E4" s="59"/>
      <c r="F4" s="50"/>
    </row>
    <row r="5" spans="1:6" ht="13.95" customHeight="1">
      <c r="A5" s="28" t="s">
        <v>165</v>
      </c>
      <c r="B5" s="24"/>
      <c r="C5" s="29"/>
    </row>
    <row r="6" spans="1:6">
      <c r="A6" s="25" t="s">
        <v>166</v>
      </c>
      <c r="B6" s="24"/>
      <c r="C6" s="26" t="s">
        <v>163</v>
      </c>
    </row>
    <row r="7" spans="1:6">
      <c r="A7" s="27"/>
      <c r="B7" s="32" t="s">
        <v>164</v>
      </c>
      <c r="C7" s="33"/>
    </row>
    <row r="8" spans="1:6">
      <c r="A8" s="23" t="s">
        <v>145</v>
      </c>
      <c r="B8" s="23"/>
      <c r="C8" s="23"/>
    </row>
    <row r="9" spans="1:6">
      <c r="A9" s="21" t="s">
        <v>146</v>
      </c>
      <c r="B9" s="21"/>
      <c r="C9" s="21"/>
    </row>
    <row r="10" spans="1:6">
      <c r="A10" s="18" t="s">
        <v>141</v>
      </c>
      <c r="B10" s="22"/>
      <c r="C10" s="5"/>
    </row>
    <row r="11" spans="1:6">
      <c r="A11" s="35"/>
      <c r="B11" s="35"/>
      <c r="C11" s="35"/>
      <c r="D11" s="35"/>
      <c r="E11" s="35"/>
      <c r="F11" s="35"/>
    </row>
    <row r="12" spans="1:6" ht="22.05" customHeight="1">
      <c r="A12" s="30" t="s">
        <v>1</v>
      </c>
      <c r="B12" s="30"/>
      <c r="C12" s="30" t="s">
        <v>15</v>
      </c>
      <c r="D12" s="30"/>
      <c r="E12" s="30" t="s">
        <v>147</v>
      </c>
      <c r="F12" s="30"/>
    </row>
    <row r="13" spans="1:6" ht="21.45" customHeight="1">
      <c r="A13" s="30" t="s">
        <v>142</v>
      </c>
      <c r="B13" s="30"/>
      <c r="C13" s="30">
        <f>COUNTIF(Sheet1!B2:B92,Sheet2!C12)</f>
        <v>18</v>
      </c>
      <c r="D13" s="31"/>
      <c r="E13" s="41" t="s">
        <v>161</v>
      </c>
      <c r="F13" s="41"/>
    </row>
    <row r="14" spans="1:6">
      <c r="A14" s="30" t="s">
        <v>143</v>
      </c>
      <c r="B14" s="30"/>
      <c r="C14" s="30" t="str">
        <f>VLOOKUP(VLOOKUP(C12,Sheet1!J4:N8,2,FALSE),Sheet1!K3:K8,1,FALSE)</f>
        <v>ravi@gmail.com</v>
      </c>
      <c r="D14" s="31"/>
      <c r="E14" s="18" t="s">
        <v>148</v>
      </c>
      <c r="F14" s="19" t="s">
        <v>162</v>
      </c>
    </row>
    <row r="15" spans="1:6">
      <c r="A15" s="30" t="s">
        <v>144</v>
      </c>
      <c r="B15" s="30"/>
      <c r="C15" s="30" t="str">
        <f>VLOOKUP(VLOOKUP(C12,Sheet1!J4:N8,3,FALSE),Sheet1!L4:L8,1,FALSE)</f>
        <v>33KOEVY2587U8</v>
      </c>
      <c r="D15" s="31"/>
      <c r="E15" s="42" t="s">
        <v>149</v>
      </c>
      <c r="F15" s="43"/>
    </row>
    <row r="16" spans="1:6">
      <c r="A16" s="30" t="s">
        <v>141</v>
      </c>
      <c r="B16" s="30"/>
      <c r="C16" s="30" t="str">
        <f>VLOOKUP(VLOOKUP(C12,Sheet1!J4:N8,4,FALSE),Sheet1!M4:M8,1,FALSE)</f>
        <v>XXXXX3187</v>
      </c>
      <c r="D16" s="31"/>
      <c r="E16" s="44" t="str">
        <f>VLOOKUP(VLOOKUP(C12,Sheet1!J4:N8,5,FALSE),Sheet1!N4:N8,1,FALSE)</f>
        <v>KK Nagar, Trichy</v>
      </c>
      <c r="F16" s="45"/>
    </row>
    <row r="17" spans="1:6">
      <c r="A17" s="15" t="s">
        <v>0</v>
      </c>
      <c r="B17" s="15" t="s">
        <v>6</v>
      </c>
      <c r="C17" s="15" t="s">
        <v>2</v>
      </c>
      <c r="D17" s="15" t="s">
        <v>3</v>
      </c>
      <c r="E17" s="20" t="s">
        <v>4</v>
      </c>
      <c r="F17" s="20" t="s">
        <v>5</v>
      </c>
    </row>
    <row r="18" spans="1:6">
      <c r="A18" s="17" t="str" cm="1">
        <f t="array" ref="A18:A35">_xlfn._xlws.FILTER(Table1[Invoice No],Table1[Name]=Sheet2!C12,"")</f>
        <v>INV003</v>
      </c>
      <c r="B18" s="60" cm="1">
        <f t="array" ref="B18:B35">_xlfn._xlws.FILTER(Table1[Date],Table1[Name]=Sheet2!C12,"")</f>
        <v>45298</v>
      </c>
      <c r="C18" s="17" t="str" cm="1">
        <f t="array" ref="C18:C35">_xlfn._xlws.FILTER(Table1[Product],Table1[Name]=Sheet2!C12,"")</f>
        <v>Printer</v>
      </c>
      <c r="D18" s="17" t="str" cm="1">
        <f t="array" ref="D18:D35">_xlfn._xlws.FILTER(Table1[Category],Table1[Name]=Sheet2!C12,"")</f>
        <v>Electronics</v>
      </c>
      <c r="E18" s="17" cm="1">
        <f t="array" ref="E18:E35">_xlfn._xlws.FILTER(Table1[Quantity],Table1[Name]=Sheet2!C12,"")</f>
        <v>1</v>
      </c>
      <c r="F18" s="61" cm="1">
        <f t="array" ref="F18:F35">_xlfn._xlws.FILTER(Table1[Amount],Table1[Name]=Sheet2!C12,"")</f>
        <v>9500</v>
      </c>
    </row>
    <row r="19" spans="1:6">
      <c r="A19" s="17" t="str">
        <v>INV008</v>
      </c>
      <c r="B19" s="60">
        <v>45303</v>
      </c>
      <c r="C19" s="17" t="str">
        <v>Router</v>
      </c>
      <c r="D19" s="17" t="str">
        <v>Electronics</v>
      </c>
      <c r="E19" s="17">
        <v>2</v>
      </c>
      <c r="F19" s="61">
        <v>5000</v>
      </c>
    </row>
    <row r="20" spans="1:6">
      <c r="A20" s="17" t="str">
        <v>INV018</v>
      </c>
      <c r="B20" s="60">
        <v>45313</v>
      </c>
      <c r="C20" s="17" t="str">
        <v>Printer</v>
      </c>
      <c r="D20" s="17" t="str">
        <v>Electronics</v>
      </c>
      <c r="E20" s="17">
        <v>2</v>
      </c>
      <c r="F20" s="61">
        <v>19000</v>
      </c>
    </row>
    <row r="21" spans="1:6">
      <c r="A21" s="17" t="str">
        <v>INV023</v>
      </c>
      <c r="B21" s="60">
        <v>45318</v>
      </c>
      <c r="C21" s="17" t="str">
        <v>Router</v>
      </c>
      <c r="D21" s="17" t="str">
        <v>Electronics</v>
      </c>
      <c r="E21" s="17">
        <v>3</v>
      </c>
      <c r="F21" s="61">
        <v>7500</v>
      </c>
    </row>
    <row r="22" spans="1:6">
      <c r="A22" s="17" t="str">
        <v>INV028</v>
      </c>
      <c r="B22" s="60">
        <v>45323</v>
      </c>
      <c r="C22" s="17" t="str">
        <v>Monitor</v>
      </c>
      <c r="D22" s="17" t="str">
        <v>Electronics</v>
      </c>
      <c r="E22" s="17">
        <v>1</v>
      </c>
      <c r="F22" s="61">
        <v>12000</v>
      </c>
    </row>
    <row r="23" spans="1:6">
      <c r="A23" s="17" t="str">
        <v>INV032</v>
      </c>
      <c r="B23" s="60">
        <v>45327</v>
      </c>
      <c r="C23" s="17" t="str">
        <v>Printer</v>
      </c>
      <c r="D23" s="17" t="str">
        <v>Electronics</v>
      </c>
      <c r="E23" s="17">
        <v>1</v>
      </c>
      <c r="F23" s="61">
        <v>9500</v>
      </c>
    </row>
    <row r="24" spans="1:6">
      <c r="A24" s="17" t="str">
        <v>INV037</v>
      </c>
      <c r="B24" s="60">
        <v>45332</v>
      </c>
      <c r="C24" s="17" t="str">
        <v>Router</v>
      </c>
      <c r="D24" s="17" t="str">
        <v>Electronics</v>
      </c>
      <c r="E24" s="17">
        <v>2</v>
      </c>
      <c r="F24" s="61">
        <v>5000</v>
      </c>
    </row>
    <row r="25" spans="1:6">
      <c r="A25" s="17" t="str">
        <v>INV041</v>
      </c>
      <c r="B25" s="60">
        <v>45336</v>
      </c>
      <c r="C25" s="17" t="str">
        <v>Monitor</v>
      </c>
      <c r="D25" s="17" t="str">
        <v>Electronics</v>
      </c>
      <c r="E25" s="17">
        <v>2</v>
      </c>
      <c r="F25" s="61">
        <v>24000</v>
      </c>
    </row>
    <row r="26" spans="1:6">
      <c r="A26" s="17" t="str">
        <v>INV047</v>
      </c>
      <c r="B26" s="60">
        <v>45342</v>
      </c>
      <c r="C26" s="17" t="str">
        <v>Printer</v>
      </c>
      <c r="D26" s="17" t="str">
        <v>Electronics</v>
      </c>
      <c r="E26" s="17">
        <v>2</v>
      </c>
      <c r="F26" s="61">
        <v>19000</v>
      </c>
    </row>
    <row r="27" spans="1:6">
      <c r="A27" s="17" t="str">
        <v>INV052</v>
      </c>
      <c r="B27" s="60">
        <v>45347</v>
      </c>
      <c r="C27" s="17" t="str">
        <v>Router</v>
      </c>
      <c r="D27" s="17" t="str">
        <v>Electronics</v>
      </c>
      <c r="E27" s="17">
        <v>3</v>
      </c>
      <c r="F27" s="61">
        <v>7500</v>
      </c>
    </row>
    <row r="28" spans="1:6">
      <c r="A28" s="17" t="str">
        <v>INV057</v>
      </c>
      <c r="B28" s="60">
        <v>45353</v>
      </c>
      <c r="C28" s="17" t="str">
        <v>Monitor</v>
      </c>
      <c r="D28" s="17" t="str">
        <v>Electronics</v>
      </c>
      <c r="E28" s="17">
        <v>1</v>
      </c>
      <c r="F28" s="61">
        <v>12000</v>
      </c>
    </row>
    <row r="29" spans="1:6">
      <c r="A29" s="17" t="str">
        <v>INV062</v>
      </c>
      <c r="B29" s="60">
        <v>45358</v>
      </c>
      <c r="C29" s="17" t="str">
        <v>Printer</v>
      </c>
      <c r="D29" s="17" t="str">
        <v>Electronics</v>
      </c>
      <c r="E29" s="17">
        <v>1</v>
      </c>
      <c r="F29" s="61">
        <v>9500</v>
      </c>
    </row>
    <row r="30" spans="1:6">
      <c r="A30" s="17" t="str">
        <v>INV067</v>
      </c>
      <c r="B30" s="60">
        <v>45363</v>
      </c>
      <c r="C30" s="17" t="str">
        <v>Router</v>
      </c>
      <c r="D30" s="17" t="str">
        <v>Electronics</v>
      </c>
      <c r="E30" s="17">
        <v>2</v>
      </c>
      <c r="F30" s="61">
        <v>5000</v>
      </c>
    </row>
    <row r="31" spans="1:6">
      <c r="A31" s="17" t="str">
        <v>INV071</v>
      </c>
      <c r="B31" s="60">
        <v>45367</v>
      </c>
      <c r="C31" s="17" t="str">
        <v>Monitor</v>
      </c>
      <c r="D31" s="17" t="str">
        <v>Electronics</v>
      </c>
      <c r="E31" s="17">
        <v>2</v>
      </c>
      <c r="F31" s="61">
        <v>24000</v>
      </c>
    </row>
    <row r="32" spans="1:6">
      <c r="A32" s="17" t="str">
        <v>INV082</v>
      </c>
      <c r="B32" s="60">
        <v>45378</v>
      </c>
      <c r="C32" s="17" t="str">
        <v>Router</v>
      </c>
      <c r="D32" s="17" t="str">
        <v>Electronics</v>
      </c>
      <c r="E32" s="17">
        <v>3</v>
      </c>
      <c r="F32" s="61">
        <v>7500</v>
      </c>
    </row>
    <row r="33" spans="1:6">
      <c r="A33" s="17" t="str">
        <v>INV087</v>
      </c>
      <c r="B33" s="60">
        <v>45383</v>
      </c>
      <c r="C33" s="17" t="str">
        <v>Monitor</v>
      </c>
      <c r="D33" s="17" t="str">
        <v>Electronics</v>
      </c>
      <c r="E33" s="17">
        <v>1</v>
      </c>
      <c r="F33" s="61">
        <v>12000</v>
      </c>
    </row>
    <row r="34" spans="1:6">
      <c r="A34" s="17" t="str">
        <v>INV092</v>
      </c>
      <c r="B34" s="60">
        <v>45388</v>
      </c>
      <c r="C34" s="17" t="str">
        <v>Printer</v>
      </c>
      <c r="D34" s="17" t="str">
        <v>Electronics</v>
      </c>
      <c r="E34" s="17">
        <v>1</v>
      </c>
      <c r="F34" s="61">
        <v>9500</v>
      </c>
    </row>
    <row r="35" spans="1:6">
      <c r="A35" s="17" t="str">
        <v>INV097</v>
      </c>
      <c r="B35" s="60">
        <v>45393</v>
      </c>
      <c r="C35" s="17" t="str">
        <v>Router</v>
      </c>
      <c r="D35" s="17" t="str">
        <v>Electronics</v>
      </c>
      <c r="E35" s="17">
        <v>2</v>
      </c>
      <c r="F35" s="61">
        <v>5000</v>
      </c>
    </row>
    <row r="36" spans="1:6">
      <c r="A36" s="16"/>
      <c r="B36" s="16"/>
      <c r="C36" s="16"/>
      <c r="D36" s="16"/>
      <c r="E36" s="16"/>
      <c r="F36" s="16"/>
    </row>
    <row r="37" spans="1:6">
      <c r="A37" s="40"/>
      <c r="B37" s="40"/>
      <c r="C37" s="40"/>
      <c r="D37" s="40"/>
      <c r="E37" s="40"/>
      <c r="F37" s="40"/>
    </row>
    <row r="38" spans="1:6">
      <c r="A38" s="40"/>
      <c r="B38" s="40"/>
      <c r="C38" s="40"/>
      <c r="D38" s="40"/>
      <c r="E38" s="40"/>
      <c r="F38" s="40"/>
    </row>
    <row r="39" spans="1:6">
      <c r="A39" s="36" t="s">
        <v>150</v>
      </c>
      <c r="B39" s="37"/>
      <c r="C39" s="37"/>
      <c r="D39" s="34" t="s">
        <v>156</v>
      </c>
      <c r="E39" s="34"/>
      <c r="F39" s="62">
        <f>SUM(_xlfn.ANCHORARRAY(F18))</f>
        <v>202500</v>
      </c>
    </row>
    <row r="40" spans="1:6">
      <c r="A40" s="38" t="s">
        <v>151</v>
      </c>
      <c r="B40" s="39"/>
      <c r="C40" s="39"/>
      <c r="D40" s="34" t="s">
        <v>157</v>
      </c>
      <c r="E40" s="34"/>
      <c r="F40" s="62">
        <f>F39*10/100</f>
        <v>20250</v>
      </c>
    </row>
    <row r="41" spans="1:6">
      <c r="A41" s="38" t="s">
        <v>153</v>
      </c>
      <c r="B41" s="38"/>
      <c r="C41" s="38"/>
      <c r="D41" s="34" t="s">
        <v>158</v>
      </c>
      <c r="E41" s="34"/>
      <c r="F41" s="62">
        <f>F39*5/100</f>
        <v>10125</v>
      </c>
    </row>
    <row r="42" spans="1:6">
      <c r="A42" s="38" t="s">
        <v>152</v>
      </c>
      <c r="B42" s="38"/>
      <c r="C42" s="38"/>
      <c r="D42" s="47" t="s">
        <v>159</v>
      </c>
      <c r="E42" s="47"/>
      <c r="F42" s="63">
        <f>SUM(F39:F41)</f>
        <v>232875</v>
      </c>
    </row>
    <row r="43" spans="1:6">
      <c r="A43" s="38" t="s">
        <v>154</v>
      </c>
      <c r="B43" s="38"/>
      <c r="C43" s="38"/>
      <c r="D43" s="47"/>
      <c r="E43" s="47"/>
      <c r="F43" s="64"/>
    </row>
    <row r="44" spans="1:6">
      <c r="A44" s="36" t="s">
        <v>155</v>
      </c>
      <c r="B44" s="37"/>
      <c r="C44" s="37"/>
      <c r="D44" s="46"/>
      <c r="E44" s="46"/>
      <c r="F44" s="46"/>
    </row>
    <row r="45" spans="1:6">
      <c r="A45" s="46"/>
      <c r="B45" s="46"/>
      <c r="C45" s="46"/>
      <c r="D45" s="46"/>
      <c r="E45" s="46"/>
      <c r="F45" s="46"/>
    </row>
    <row r="46" spans="1:6">
      <c r="A46" s="46"/>
      <c r="B46" s="46"/>
      <c r="C46" s="46"/>
      <c r="D46" s="46"/>
      <c r="E46" s="46"/>
      <c r="F46" s="46"/>
    </row>
    <row r="47" spans="1:6">
      <c r="A47" s="46"/>
      <c r="B47" s="46"/>
      <c r="C47" s="46"/>
      <c r="D47" s="46"/>
      <c r="E47" s="46"/>
      <c r="F47" s="46"/>
    </row>
    <row r="48" spans="1:6">
      <c r="A48" s="46"/>
      <c r="B48" s="46"/>
      <c r="C48" s="46"/>
      <c r="D48" s="36" t="s">
        <v>160</v>
      </c>
      <c r="E48" s="37"/>
      <c r="F48" s="37"/>
    </row>
    <row r="49" spans="1:3">
      <c r="A49" s="14"/>
      <c r="B49" s="14"/>
      <c r="C49" s="14"/>
    </row>
    <row r="50" spans="1:3">
      <c r="A50" s="14"/>
      <c r="B50" s="14"/>
      <c r="C50" s="14"/>
    </row>
  </sheetData>
  <mergeCells count="34">
    <mergeCell ref="A45:C48"/>
    <mergeCell ref="D42:E43"/>
    <mergeCell ref="D48:F48"/>
    <mergeCell ref="D44:F47"/>
    <mergeCell ref="A41:C41"/>
    <mergeCell ref="A42:C42"/>
    <mergeCell ref="A43:C43"/>
    <mergeCell ref="A44:C44"/>
    <mergeCell ref="F42:F43"/>
    <mergeCell ref="D41:E41"/>
    <mergeCell ref="A11:F11"/>
    <mergeCell ref="A39:C39"/>
    <mergeCell ref="A40:C40"/>
    <mergeCell ref="A37:F38"/>
    <mergeCell ref="C14:D14"/>
    <mergeCell ref="C15:D15"/>
    <mergeCell ref="C16:D16"/>
    <mergeCell ref="E12:F12"/>
    <mergeCell ref="E13:F13"/>
    <mergeCell ref="E15:F15"/>
    <mergeCell ref="E16:F16"/>
    <mergeCell ref="A14:B14"/>
    <mergeCell ref="A15:B15"/>
    <mergeCell ref="A16:B16"/>
    <mergeCell ref="D39:E39"/>
    <mergeCell ref="D40:E40"/>
    <mergeCell ref="C12:D12"/>
    <mergeCell ref="C13:D13"/>
    <mergeCell ref="B7:C7"/>
    <mergeCell ref="A12:B12"/>
    <mergeCell ref="A13:B13"/>
    <mergeCell ref="B1:E4"/>
    <mergeCell ref="F1:F4"/>
    <mergeCell ref="A1:A4"/>
  </mergeCells>
  <dataValidations disablePrompts="1" count="1">
    <dataValidation type="list" allowBlank="1" showInputMessage="1" showErrorMessage="1" sqref="F14" xr:uid="{00000000-0002-0000-0300-000000000000}">
      <formula1>"Cash,Online ,Cheque,UPI"</formula1>
    </dataValidation>
  </dataValidations>
  <pageMargins left="0.7" right="1.3611111111111112" top="0.66666666666666663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1000000}">
          <x14:formula1>
            <xm:f>Sheet1!$J$4:$J$8</xm:f>
          </x14:formula1>
          <xm:sqref>C12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S0681874</dc:creator>
  <cp:lastModifiedBy>STUDENT</cp:lastModifiedBy>
  <cp:lastPrinted>2026-07-10T12:16:10Z</cp:lastPrinted>
  <dcterms:created xsi:type="dcterms:W3CDTF">2026-05-09T13:51:37Z</dcterms:created>
  <dcterms:modified xsi:type="dcterms:W3CDTF">2026-07-10T12:16:22Z</dcterms:modified>
</cp:coreProperties>
</file>