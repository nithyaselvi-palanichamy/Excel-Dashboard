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Excel practice task\"/>
    </mc:Choice>
  </mc:AlternateContent>
  <bookViews>
    <workbookView xWindow="-110" yWindow="-110" windowWidth="23260" windowHeight="13180" activeTab="1"/>
  </bookViews>
  <sheets>
    <sheet name="KPI &amp; charts" sheetId="5" r:id="rId1"/>
    <sheet name="Dashboard" sheetId="6" r:id="rId2"/>
    <sheet name="BlinkIT Grocery Data" sheetId="1" r:id="rId3"/>
  </sheets>
  <definedNames>
    <definedName name="Slicer_Item_Type">#N/A</definedName>
    <definedName name="Slicer_Outlet_Location_Type">#N/A</definedName>
    <definedName name="Slicer_Outlet_Size">#N/A</definedName>
  </definedNames>
  <calcPr calcId="152511"/>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5" l="1"/>
  <c r="A8" i="5"/>
  <c r="C8" i="5"/>
  <c r="D8" i="5"/>
</calcChain>
</file>

<file path=xl/sharedStrings.xml><?xml version="1.0" encoding="utf-8"?>
<sst xmlns="http://schemas.openxmlformats.org/spreadsheetml/2006/main" count="59750" uniqueCount="1629">
  <si>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</si>
  <si>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</si>
  <si>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</si>
  <si>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</si>
  <si>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</si>
  <si>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</si>
  <si>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</si>
  <si>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</si>
  <si>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</si>
  <si>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</si>
  <si>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</si>
  <si>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</si>
  <si>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</si>
  <si>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</si>
  <si>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</si>
  <si>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</si>
  <si>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</si>
  <si>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</si>
  <si>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</si>
  <si>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</si>
  <si>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</si>
  <si>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</si>
  <si>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</si>
  <si>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</si>
  <si>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</si>
  <si>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</si>
  <si>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</si>
  <si>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</si>
  <si>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</si>
  <si>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</si>
  <si>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</si>
  <si>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</si>
  <si>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</si>
  <si>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</si>
  <si>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</si>
  <si>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</si>
  <si>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</si>
  <si>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</si>
  <si>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</si>
  <si>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</si>
  <si>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</si>
  <si>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</si>
  <si>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</si>
  <si>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</si>
  <si>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</si>
  <si>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</si>
  <si>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</si>
  <si>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</si>
  <si>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</si>
  <si>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</si>
  <si>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</si>
  <si>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</si>
  <si>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</si>
  <si>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</si>
  <si>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</si>
  <si>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</si>
  <si>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</si>
  <si>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</si>
  <si>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</si>
  <si>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</si>
  <si>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</si>
  <si>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</si>
  <si>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</si>
  <si>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</si>
  <si>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</si>
  <si>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</si>
  <si>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</si>
  <si>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</si>
  <si>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</si>
  <si>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</si>
  <si>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</si>
  <si>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</si>
  <si>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</si>
  <si>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</si>
  <si>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</si>
  <si>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</si>
  <si>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</si>
  <si>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</si>
  <si>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</si>
  <si>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</si>
  <si>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</si>
  <si>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</si>
  <si>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</si>
  <si>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</si>
  <si>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</si>
  <si>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</si>
  <si>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</si>
  <si>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</si>
  <si>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</si>
  <si>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</si>
  <si>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</si>
  <si>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</si>
  <si>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</si>
  <si>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</si>
  <si>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</si>
  <si>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</si>
  <si>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</si>
  <si>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</si>
  <si>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</si>
  <si>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</si>
  <si>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</si>
  <si>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</si>
  <si>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</si>
  <si>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</si>
  <si>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</si>
  <si>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</si>
  <si>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</si>
  <si>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</si>
  <si>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</si>
  <si>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</si>
  <si>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</si>
  <si>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</si>
  <si>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</si>
  <si>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</si>
  <si>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</si>
  <si>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</si>
  <si>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</si>
  <si>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</si>
  <si>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</si>
  <si>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</si>
  <si>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</si>
  <si>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</si>
  <si>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</si>
  <si>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</si>
  <si>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</si>
  <si>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</si>
  <si>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</si>
  <si>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</si>
  <si>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</si>
  <si>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</si>
  <si>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</si>
  <si>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</si>
  <si>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</si>
  <si>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</si>
  <si>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</si>
  <si>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</si>
  <si>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</si>
  <si>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</si>
  <si>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</si>
  <si>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</si>
  <si>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</si>
  <si>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</si>
  <si>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</si>
  <si>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</si>
  <si>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</si>
  <si>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</si>
  <si>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</si>
  <si>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</si>
  <si>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</si>
  <si>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</si>
  <si>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</si>
  <si>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</si>
  <si>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</si>
  <si>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</si>
  <si>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</si>
  <si>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</si>
  <si>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</si>
  <si>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</si>
  <si>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</si>
  <si>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</si>
  <si>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</si>
  <si>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</si>
  <si>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</si>
  <si>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</si>
  <si>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</si>
  <si>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</si>
  <si>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</si>
  <si>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</si>
  <si>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</si>
  <si>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</si>
  <si>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</si>
  <si>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</si>
  <si>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</si>
  <si>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</si>
  <si>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</si>
  <si>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</si>
  <si>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</si>
  <si>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</si>
  <si>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</si>
  <si>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</si>
  <si>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</si>
  <si>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</si>
  <si>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</si>
  <si>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</si>
  <si>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</si>
  <si>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</si>
  <si>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</si>
  <si>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</si>
  <si>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</si>
  <si>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</si>
  <si>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</si>
  <si>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</si>
  <si>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</si>
  <si>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</si>
  <si>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</si>
  <si>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</si>
  <si>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</si>
  <si>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</si>
  <si>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</si>
  <si>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</si>
  <si>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</si>
  <si>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</si>
  <si>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</si>
  <si>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</si>
  <si>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</si>
  <si>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</si>
  <si>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</si>
  <si>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</si>
  <si>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</si>
  <si>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</si>
  <si>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</si>
  <si>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</si>
  <si>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</si>
  <si>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</si>
  <si>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</si>
  <si>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</si>
  <si>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</si>
  <si>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</si>
  <si>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</si>
  <si>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</si>
  <si>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</si>
  <si>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</si>
  <si>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</si>
  <si>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</si>
  <si>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</si>
  <si>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</si>
  <si>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</si>
  <si>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</si>
  <si>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</si>
  <si>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</si>
  <si>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</si>
  <si>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</si>
  <si>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</si>
  <si>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</si>
  <si>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</si>
  <si>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</si>
  <si>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</si>
  <si>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</si>
  <si>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</si>
  <si>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</si>
  <si>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</si>
  <si>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</si>
  <si>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</si>
  <si>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</si>
  <si>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</si>
  <si>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</si>
  <si>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</si>
  <si>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</si>
  <si>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</si>
  <si>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</si>
  <si>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</si>
  <si>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</si>
  <si>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</si>
  <si>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</si>
  <si>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</si>
  <si>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</si>
  <si>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</si>
  <si>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</si>
  <si>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</si>
  <si>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</si>
  <si>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</si>
  <si>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</si>
  <si>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</si>
  <si>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</si>
  <si>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</si>
  <si>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</si>
  <si>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</si>
  <si>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</si>
  <si>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</si>
  <si>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</si>
  <si>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</si>
  <si>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</si>
  <si>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</si>
  <si>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</si>
  <si>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</si>
  <si>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</si>
  <si>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</si>
  <si>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</si>
  <si>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</si>
  <si>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</si>
  <si>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</si>
  <si>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</si>
  <si>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</si>
  <si>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</si>
  <si>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</si>
  <si>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</si>
  <si>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</si>
  <si>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</si>
  <si>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</si>
  <si>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</si>
  <si>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</si>
  <si>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</si>
  <si>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</si>
  <si>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</si>
  <si>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</si>
  <si>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</si>
  <si>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</si>
  <si>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</si>
  <si>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</si>
  <si>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</si>
  <si>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</si>
  <si>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</si>
  <si>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</si>
  <si>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</si>
  <si>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</si>
  <si>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</si>
  <si>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</si>
  <si>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</si>
  <si>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</si>
  <si>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</si>
  <si>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</si>
  <si>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</si>
  <si>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</si>
  <si>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</si>
  <si>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</si>
  <si>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</si>
  <si>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</si>
  <si>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</si>
  <si>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</si>
  <si>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</si>
  <si>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</si>
  <si>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</si>
  <si>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</si>
  <si>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</si>
  <si>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</si>
  <si>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</si>
  <si>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</si>
  <si>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</si>
  <si>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</si>
  <si>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</si>
  <si>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</si>
  <si>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</si>
  <si>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</si>
  <si>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</si>
  <si>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</si>
  <si>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</si>
  <si>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</si>
  <si>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</si>
  <si>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</si>
  <si>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</si>
  <si>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</si>
  <si>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</si>
  <si>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</si>
  <si>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</si>
  <si>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</si>
  <si>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</si>
  <si>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</si>
  <si>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</si>
  <si>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</si>
  <si>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</si>
  <si>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</si>
  <si>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</si>
  <si>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</si>
  <si>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</si>
  <si>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</si>
  <si>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</si>
  <si>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</si>
  <si>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</si>
  <si>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</si>
  <si>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</si>
  <si>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</si>
  <si>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</si>
  <si>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</si>
  <si>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</si>
  <si>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</si>
  <si>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</si>
  <si>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</si>
  <si>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</si>
  <si>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</si>
  <si>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</si>
  <si>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</si>
  <si>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</si>
  <si>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</si>
  <si>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</si>
  <si>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</si>
  <si>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</si>
  <si>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</si>
  <si>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</si>
  <si>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</si>
  <si>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</si>
  <si>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</si>
  <si>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</si>
  <si>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</si>
  <si>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</si>
  <si>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</si>
  <si>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</si>
  <si>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</si>
  <si>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</si>
  <si>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</si>
  <si>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</si>
  <si>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</si>
  <si>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</si>
  <si>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</si>
  <si>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</si>
  <si>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</si>
  <si>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</si>
  <si>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</si>
  <si>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</si>
  <si>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</si>
  <si>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</si>
  <si>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</si>
  <si>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</si>
  <si>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</si>
  <si>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</si>
  <si>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</si>
  <si>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</si>
  <si>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</si>
  <si>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</si>
  <si>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</si>
  <si>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</si>
  <si>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</si>
  <si>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</si>
  <si>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</si>
  <si>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</si>
  <si>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</si>
  <si>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</si>
  <si>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</si>
  <si>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</si>
  <si>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</si>
  <si>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</si>
  <si>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</si>
  <si>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</si>
  <si>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</si>
  <si>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</si>
  <si>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</si>
  <si>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</si>
  <si>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</si>
  <si>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</si>
  <si>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</si>
  <si>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</si>
  <si>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</si>
  <si>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</si>
  <si>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</si>
  <si>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</si>
  <si>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</si>
  <si>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</si>
  <si>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</si>
  <si>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</si>
  <si>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</si>
  <si>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</si>
  <si>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</si>
  <si>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</si>
  <si>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</si>
  <si>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</si>
  <si>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</si>
  <si>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</si>
  <si>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</si>
  <si>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</si>
  <si>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</si>
  <si>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</si>
  <si>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</si>
  <si>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</si>
  <si>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</si>
  <si>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</si>
  <si>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</si>
  <si>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</si>
  <si>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</si>
  <si>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</si>
  <si>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</si>
  <si>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</si>
  <si>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</si>
  <si>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</si>
  <si>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</si>
  <si>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</si>
  <si>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</si>
  <si>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</si>
  <si>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</si>
  <si>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</si>
  <si>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</si>
  <si>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</si>
  <si>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</si>
  <si>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</si>
  <si>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</si>
  <si>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</si>
  <si>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</si>
  <si>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</si>
  <si>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</si>
  <si>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</si>
  <si>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</si>
  <si>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</si>
  <si>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</si>
  <si>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</si>
  <si>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</si>
  <si>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</si>
  <si>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</si>
  <si>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</si>
  <si>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</si>
  <si>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</si>
  <si>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</si>
  <si>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</si>
  <si>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</si>
  <si>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</si>
  <si>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</si>
  <si>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</si>
  <si>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</si>
  <si>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</si>
  <si>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</si>
  <si>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</si>
  <si>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</si>
  <si>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</si>
  <si>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</si>
  <si>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</si>
  <si>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</si>
  <si>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</si>
  <si>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</si>
  <si>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</si>
  <si>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</si>
  <si>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</si>
  <si>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</si>
  <si>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</si>
  <si>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</si>
  <si>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</si>
  <si>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</si>
  <si>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</si>
  <si>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</si>
  <si>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</si>
  <si>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</si>
  <si>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</si>
  <si>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</si>
  <si>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</si>
  <si>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</si>
  <si>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</si>
  <si>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</si>
  <si>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</si>
  <si>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</si>
  <si>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</si>
  <si>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</si>
  <si>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</si>
  <si>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</si>
  <si>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</si>
  <si>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</si>
  <si>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</si>
  <si>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</si>
  <si>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</si>
  <si>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</si>
  <si>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</si>
  <si>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</si>
  <si>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</si>
  <si>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</si>
  <si>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</si>
  <si>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</si>
  <si>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</si>
  <si>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</si>
  <si>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</si>
  <si>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</si>
  <si>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</si>
  <si>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</si>
  <si>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</si>
  <si>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</si>
  <si>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</si>
  <si>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</si>
  <si>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</si>
  <si>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</si>
  <si>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</si>
  <si>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</si>
  <si>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</si>
  <si>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</si>
  <si>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</si>
  <si>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</si>
  <si>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</si>
  <si>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</si>
  <si>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</si>
  <si>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</si>
  <si>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</si>
  <si>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</si>
  <si>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</si>
  <si>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</si>
  <si>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</si>
  <si>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</si>
  <si>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</si>
  <si>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</si>
  <si>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</si>
  <si>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</si>
  <si>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</si>
  <si>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</si>
  <si>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</si>
  <si>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</si>
  <si>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</si>
  <si>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</si>
  <si>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</si>
  <si>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</si>
  <si>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</si>
  <si>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</si>
  <si>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</si>
  <si>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</si>
  <si>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</si>
  <si>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</si>
  <si>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</si>
  <si>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</si>
  <si>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</si>
  <si>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</si>
  <si>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</si>
  <si>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</si>
  <si>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</si>
  <si>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</si>
  <si>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</si>
  <si>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</si>
  <si>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</si>
  <si>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</si>
  <si>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</si>
  <si>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</si>
  <si>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</si>
  <si>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</si>
  <si>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</si>
  <si>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</si>
  <si>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</si>
  <si>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</si>
  <si>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</si>
  <si>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</si>
  <si>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</si>
  <si>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</si>
  <si>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</si>
  <si>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</si>
  <si>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</si>
  <si>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</si>
  <si>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</si>
  <si>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</si>
  <si>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</si>
  <si>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</si>
  <si>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</si>
  <si>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</si>
  <si>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</si>
  <si>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</si>
  <si>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</si>
  <si>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</si>
  <si>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</si>
  <si>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</si>
  <si>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</si>
  <si>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</si>
  <si>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</si>
  <si>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</si>
  <si>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</si>
  <si>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</si>
  <si>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</si>
  <si>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</si>
  <si>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</si>
  <si>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</si>
  <si>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</si>
  <si>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</si>
  <si>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</si>
  <si>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</si>
  <si>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</si>
  <si>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</si>
  <si>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</si>
  <si>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</si>
  <si>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</si>
  <si>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</si>
  <si>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</si>
  <si>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</si>
  <si>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</si>
  <si>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</si>
  <si>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</si>
  <si>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</si>
  <si>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</si>
  <si>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</si>
  <si>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</si>
  <si>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</si>
  <si>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</si>
  <si>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</si>
  <si>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</si>
  <si>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</si>
  <si>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</si>
  <si>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</si>
  <si>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</si>
  <si>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</si>
  <si>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</si>
  <si>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</si>
  <si>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</si>
  <si>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</si>
  <si>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</si>
  <si>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</si>
  <si>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</si>
  <si>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</si>
  <si>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</si>
  <si>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</si>
  <si>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</si>
  <si>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</si>
  <si>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</si>
  <si>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</si>
  <si>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</si>
  <si>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</si>
  <si>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</si>
  <si>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</si>
  <si>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</si>
  <si>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</si>
  <si>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</si>
  <si>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</si>
  <si>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</si>
  <si>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</si>
  <si>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</si>
  <si>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</si>
  <si>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</si>
  <si>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</si>
  <si>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</si>
  <si>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</si>
  <si>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</si>
  <si>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</si>
  <si>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</si>
  <si>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</si>
  <si>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</si>
  <si>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</si>
  <si>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</si>
  <si>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</si>
  <si>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</si>
  <si>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</si>
  <si>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</si>
  <si>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</si>
  <si>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</si>
  <si>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</si>
  <si>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</si>
  <si>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</si>
  <si>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</si>
  <si>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</si>
  <si>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</si>
  <si>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</si>
  <si>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</si>
  <si>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</si>
  <si>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</si>
  <si>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</si>
  <si>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</si>
  <si>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</si>
  <si>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</si>
  <si>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</si>
  <si>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</si>
  <si>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</si>
  <si>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</si>
  <si>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</si>
  <si>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</si>
  <si>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</si>
  <si>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</si>
  <si>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</si>
  <si>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</si>
  <si>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</si>
  <si>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</si>
  <si>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</si>
  <si>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</si>
  <si>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</si>
  <si>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</si>
  <si>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</si>
  <si>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</si>
  <si>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</si>
  <si>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</si>
  <si>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</si>
  <si>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</si>
  <si>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</si>
  <si>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</si>
  <si>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</si>
  <si>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</si>
  <si>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</si>
  <si>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</si>
  <si>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</si>
  <si>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</si>
  <si>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</si>
  <si>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</si>
  <si>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</si>
  <si>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</si>
  <si>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</si>
  <si>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</si>
  <si>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</si>
  <si>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</si>
  <si>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</si>
  <si>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</si>
  <si>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</si>
  <si>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</si>
  <si>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</si>
  <si>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</si>
  <si>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</si>
  <si>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</si>
  <si>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</si>
  <si>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</si>
  <si>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</si>
  <si>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</si>
  <si>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</si>
  <si>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</si>
  <si>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</si>
  <si>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</si>
  <si>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</si>
  <si>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</si>
  <si>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</si>
  <si>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</si>
  <si>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</si>
  <si>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</si>
  <si>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</si>
  <si>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</si>
  <si>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</si>
  <si>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</si>
  <si>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</si>
  <si>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</si>
  <si>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</si>
  <si>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</si>
  <si>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</si>
  <si>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</si>
  <si>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</si>
  <si>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</si>
  <si>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</si>
  <si>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</si>
  <si>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</si>
  <si>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</si>
  <si>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</si>
  <si>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</si>
  <si>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</si>
  <si>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</si>
  <si>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</si>
  <si>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</si>
  <si>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</si>
  <si>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</si>
  <si>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</si>
  <si>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</si>
  <si>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</si>
  <si>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</si>
  <si>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</si>
  <si>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</si>
  <si>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</si>
  <si>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</si>
  <si>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</si>
  <si>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</si>
  <si>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</si>
  <si>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</si>
  <si>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</si>
  <si>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</si>
  <si>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</si>
  <si>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</si>
  <si>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</si>
  <si>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</si>
  <si>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</si>
  <si>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</si>
  <si>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</si>
  <si>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</si>
  <si>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</si>
  <si>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</si>
  <si>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</si>
  <si>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</si>
  <si>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</si>
  <si>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</si>
  <si>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</si>
  <si>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</si>
  <si>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</si>
  <si>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</si>
  <si>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</si>
  <si>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</si>
  <si>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</si>
  <si>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</si>
  <si>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</si>
  <si>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</si>
  <si>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</si>
  <si>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</si>
  <si>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</si>
  <si>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</si>
  <si>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</si>
  <si>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</si>
  <si>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</si>
  <si>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</si>
  <si>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</si>
  <si>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</si>
  <si>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</si>
  <si>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</si>
  <si>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</si>
  <si>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</si>
  <si>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</si>
  <si>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</si>
  <si>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</si>
  <si>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</si>
  <si>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</si>
  <si>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</si>
  <si>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</si>
  <si>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</si>
  <si>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</si>
  <si>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</si>
  <si>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</si>
  <si>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</si>
  <si>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</si>
  <si>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</si>
  <si>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</si>
  <si>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</si>
  <si>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</si>
  <si>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</si>
  <si>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</si>
  <si>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</si>
  <si>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</si>
  <si>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</si>
  <si>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</si>
  <si>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</si>
  <si>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</si>
  <si>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</si>
  <si>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</si>
  <si>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</si>
  <si>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</si>
  <si>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</si>
  <si>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</si>
  <si>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</si>
  <si>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</si>
  <si>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</si>
  <si>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</si>
  <si>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</si>
  <si>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</si>
  <si>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</si>
  <si>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</si>
  <si>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</si>
  <si>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</si>
  <si>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</si>
  <si>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</si>
  <si>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</si>
  <si>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</si>
  <si>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</si>
  <si>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</si>
  <si>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</si>
  <si>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</si>
  <si>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</si>
  <si>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</si>
  <si>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</si>
  <si>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</si>
  <si>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</si>
  <si>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</si>
  <si>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</si>
  <si>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</si>
  <si>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</si>
  <si>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</si>
  <si>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</si>
  <si>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</si>
  <si>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</si>
  <si>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</si>
  <si>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</si>
  <si>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</si>
  <si>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</si>
  <si>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</si>
  <si>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</si>
  <si>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</si>
  <si>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</si>
  <si>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</si>
  <si>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</si>
  <si>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</si>
  <si>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</si>
  <si>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</si>
  <si>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</si>
  <si>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</si>
  <si>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</si>
  <si>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</si>
  <si>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</si>
  <si>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</si>
  <si>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</si>
  <si>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</si>
  <si>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</si>
  <si>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</si>
  <si>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</si>
  <si>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</si>
  <si>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</si>
  <si>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</si>
  <si>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</si>
  <si>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</si>
  <si>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</si>
  <si>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</si>
  <si>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</si>
  <si>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</si>
  <si>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</si>
  <si>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</si>
  <si>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</si>
  <si>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</si>
  <si>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</si>
  <si>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</si>
  <si>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</si>
  <si>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</si>
  <si>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</si>
  <si>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</si>
  <si>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</si>
  <si>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</si>
  <si>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</si>
  <si>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</si>
  <si>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</si>
  <si>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</si>
  <si>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</si>
  <si>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</si>
  <si>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</si>
  <si>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</si>
  <si>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</si>
  <si>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</si>
  <si>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</si>
  <si>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</si>
  <si>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</si>
  <si>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</si>
  <si>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</si>
  <si>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</si>
  <si>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</si>
  <si>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</si>
  <si>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</si>
  <si>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</si>
  <si>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</si>
  <si>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</si>
  <si>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</si>
  <si>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</si>
  <si>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</si>
  <si>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</si>
  <si>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</si>
  <si>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</si>
  <si>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</si>
  <si>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</si>
  <si>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</si>
  <si>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</si>
  <si>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</si>
  <si>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</si>
  <si>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</si>
  <si>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</si>
  <si>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</si>
  <si>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</si>
  <si>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</si>
  <si>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</si>
  <si>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</si>
  <si>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</si>
  <si>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</si>
  <si>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</si>
  <si>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</si>
  <si>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</si>
  <si>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</si>
  <si>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</si>
  <si>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</si>
  <si>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</si>
  <si>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</si>
  <si>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</si>
  <si>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</si>
  <si>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</si>
  <si>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</si>
  <si>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</si>
  <si>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</si>
  <si>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</si>
  <si>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</si>
  <si>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</si>
  <si>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</si>
  <si>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</si>
  <si>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</si>
  <si>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</si>
  <si>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</si>
  <si>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</si>
  <si>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</si>
  <si>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</si>
  <si>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</si>
  <si>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</si>
  <si>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</si>
  <si>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</si>
  <si>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</si>
  <si>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</si>
  <si>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</si>
  <si>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</si>
  <si>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</si>
  <si>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</si>
  <si>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</si>
  <si>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</si>
  <si>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</si>
  <si>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</si>
  <si>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</si>
  <si>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</si>
  <si>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</si>
  <si>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</si>
  <si>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</si>
  <si>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</si>
  <si>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</si>
  <si>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</si>
  <si>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</si>
  <si>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</si>
  <si>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</si>
  <si>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</si>
  <si>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</si>
  <si>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</si>
  <si>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</si>
  <si>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</si>
  <si>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</si>
  <si>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</si>
  <si>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</si>
  <si>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</si>
  <si>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</si>
  <si>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</si>
  <si>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</si>
  <si>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</si>
  <si>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</si>
  <si>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</si>
  <si>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</si>
  <si>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</si>
  <si>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</si>
  <si>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</si>
  <si>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</si>
  <si>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</si>
  <si>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</si>
  <si>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</si>
  <si>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</si>
  <si>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</si>
  <si>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</si>
  <si>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</si>
  <si>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</si>
  <si>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</si>
  <si>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</si>
  <si>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</si>
  <si>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</si>
  <si>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</si>
  <si>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</si>
  <si>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</si>
  <si>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</si>
  <si>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</si>
  <si>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</si>
  <si>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</si>
  <si>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</si>
  <si>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</si>
  <si>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</si>
  <si>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</si>
  <si>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</si>
  <si>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</si>
  <si>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</si>
  <si>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</si>
  <si>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</si>
  <si>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</si>
  <si>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</si>
  <si>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</si>
  <si>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</si>
  <si>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</si>
  <si>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</si>
  <si>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</si>
  <si>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</si>
  <si>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</si>
  <si>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</si>
  <si>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</si>
  <si>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</si>
  <si>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</si>
  <si>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</si>
  <si>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</si>
  <si>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</si>
  <si>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</si>
  <si>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</si>
  <si>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</si>
  <si>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</si>
  <si>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</si>
  <si>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</si>
  <si>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</si>
  <si>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</si>
  <si>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</si>
  <si>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</si>
  <si>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</si>
  <si>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</si>
  <si>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</si>
  <si>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</si>
  <si>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</si>
  <si>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</si>
  <si>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</si>
  <si>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</si>
  <si>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</si>
  <si>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</si>
  <si>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</si>
  <si>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</si>
  <si>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</si>
  <si>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</si>
  <si>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</si>
  <si>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</si>
  <si>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</si>
  <si>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</si>
  <si>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</si>
  <si>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</si>
  <si>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</si>
  <si>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</si>
  <si>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</si>
  <si>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</si>
  <si>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</si>
  <si>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</si>
  <si>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</si>
  <si>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</si>
  <si>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</si>
  <si>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</si>
  <si>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</si>
  <si>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</si>
  <si>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</si>
  <si>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</si>
  <si>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</si>
  <si>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</si>
  <si>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</si>
  <si>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</si>
  <si>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</si>
  <si>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</si>
  <si>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</si>
  <si>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</si>
  <si>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</si>
  <si>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</si>
  <si>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</si>
  <si>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</si>
  <si>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</si>
  <si>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</si>
  <si>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</si>
  <si>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</si>
  <si>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</si>
  <si>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</si>
  <si>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</si>
  <si>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</si>
  <si>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</si>
  <si>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</si>
  <si>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</si>
  <si>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</si>
  <si>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</si>
  <si>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</si>
  <si>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</si>
  <si>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</si>
  <si>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</si>
  <si>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</si>
  <si>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</si>
  <si>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</si>
  <si>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</si>
  <si>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</si>
  <si>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</si>
  <si>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</si>
  <si>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</si>
  <si>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</si>
  <si>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</si>
  <si>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</si>
  <si>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</si>
  <si>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</si>
  <si>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</si>
  <si>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</si>
  <si>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</si>
  <si>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</si>
  <si>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</si>
  <si>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</si>
  <si>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</si>
  <si>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</si>
  <si>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</si>
  <si>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</si>
  <si>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</si>
  <si>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</si>
  <si>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</si>
  <si>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</si>
  <si>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</si>
  <si>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</si>
  <si>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</si>
  <si>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</si>
  <si>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</si>
  <si>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</si>
  <si>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</si>
  <si>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</si>
  <si>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</si>
  <si>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</si>
  <si>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</si>
  <si>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</si>
  <si>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</si>
  <si>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</si>
  <si>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</si>
  <si>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</si>
  <si>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</si>
  <si>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</si>
  <si>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</si>
  <si>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</si>
  <si>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</si>
  <si>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</si>
  <si>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</si>
  <si>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</si>
  <si>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</si>
  <si>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</si>
  <si>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</si>
  <si>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</si>
  <si>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</si>
  <si>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</si>
  <si>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</si>
  <si>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</si>
  <si>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</si>
  <si>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</si>
  <si>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</si>
  <si>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</si>
  <si>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</si>
  <si>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</si>
  <si>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</si>
  <si>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</si>
  <si>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</si>
  <si>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</si>
  <si>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</si>
  <si>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</si>
  <si>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</si>
  <si>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</si>
  <si>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</si>
  <si>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</si>
  <si>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</si>
  <si>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</si>
  <si>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</si>
  <si>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</si>
  <si>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</si>
  <si>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</si>
  <si>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</si>
  <si>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</si>
  <si>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</si>
  <si>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</si>
  <si>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</si>
  <si>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</si>
  <si>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</si>
  <si>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</si>
  <si>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</si>
  <si>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</si>
  <si>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</si>
  <si>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</si>
  <si>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</si>
  <si>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</si>
  <si>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</si>
  <si>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</si>
  <si>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</si>
  <si>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</si>
  <si>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</si>
  <si>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</si>
  <si>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</si>
  <si>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</si>
  <si>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</si>
  <si>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</si>
  <si>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</si>
  <si>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</si>
  <si>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</si>
  <si>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</si>
  <si>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</si>
  <si>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</si>
  <si>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</si>
  <si>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</si>
  <si>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</si>
  <si>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</si>
  <si>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</si>
  <si>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</si>
  <si>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</si>
  <si>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</si>
  <si>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</si>
  <si>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</si>
  <si>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</si>
  <si>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</si>
  <si>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</si>
  <si>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</si>
  <si>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</si>
  <si>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</si>
  <si>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</si>
  <si>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</si>
  <si>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</si>
  <si>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</si>
  <si>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</si>
  <si>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</si>
  <si>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</si>
  <si>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</si>
  <si>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</si>
  <si>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</si>
  <si>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</si>
  <si>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</si>
  <si>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</si>
  <si>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</si>
  <si>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</si>
  <si>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</si>
  <si>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</si>
  <si>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</si>
  <si>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</si>
  <si>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</si>
  <si>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</si>
  <si>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</si>
  <si>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</si>
  <si>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</si>
  <si>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</si>
  <si>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</si>
  <si>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</si>
  <si>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</si>
  <si>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</si>
  <si>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</si>
  <si>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</si>
  <si>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</si>
  <si>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</si>
  <si>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</si>
  <si>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</si>
  <si>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</si>
  <si>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</si>
  <si>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</si>
  <si>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</si>
  <si>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</si>
  <si>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</si>
  <si>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</si>
  <si>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</si>
  <si>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</si>
  <si>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</si>
  <si>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</si>
  <si>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</si>
  <si>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</si>
  <si>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</si>
  <si>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</si>
  <si>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</si>
  <si>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</si>
  <si>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</si>
  <si>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</si>
  <si>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</si>
  <si>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</si>
  <si>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</si>
  <si>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</si>
  <si>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</si>
  <si>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</si>
  <si>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</si>
  <si>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</si>
  <si>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</si>
  <si>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</si>
  <si>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</si>
  <si>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</si>
  <si>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</si>
  <si>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</si>
  <si>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</si>
  <si>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</si>
  <si>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</si>
  <si>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</si>
  <si>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</si>
  <si>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</si>
  <si>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</si>
  <si>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</si>
  <si>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</si>
  <si>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</si>
  <si>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</si>
  <si>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</si>
  <si>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</si>
  <si>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</si>
  <si>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</si>
  <si>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</si>
  <si>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</si>
  <si>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</si>
  <si>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</si>
  <si>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</si>
  <si>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</si>
  <si>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</si>
  <si>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</si>
  <si>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</si>
  <si>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</si>
  <si>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</si>
  <si>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</si>
  <si>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</si>
  <si>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</si>
  <si>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</si>
  <si>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</si>
  <si>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</si>
  <si>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</si>
  <si>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</si>
  <si>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</si>
  <si>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</si>
  <si>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</si>
  <si>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</si>
  <si>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</si>
  <si>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</si>
  <si>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</si>
  <si>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</si>
  <si>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</si>
  <si>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</si>
  <si>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</si>
  <si>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</si>
  <si>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</si>
  <si>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</si>
  <si>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</si>
  <si>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</si>
  <si>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</si>
  <si>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</si>
  <si>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</si>
  <si>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</si>
  <si>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</si>
  <si>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</si>
  <si>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</si>
  <si>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</si>
  <si>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</si>
  <si>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</si>
  <si>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</si>
  <si>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</si>
  <si>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</si>
  <si>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</si>
  <si>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</si>
  <si>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</si>
  <si>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</si>
  <si>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</si>
  <si>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</si>
  <si>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</si>
  <si>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</si>
  <si>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</si>
  <si>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</si>
  <si>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</si>
  <si>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</si>
  <si>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</si>
  <si>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</si>
  <si>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</si>
  <si>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</si>
  <si>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</si>
  <si>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</si>
  <si>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</si>
  <si>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</si>
  <si>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</si>
  <si>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</si>
  <si>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</si>
  <si>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</si>
  <si>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</si>
  <si>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</si>
  <si>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</si>
  <si>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</si>
  <si>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</si>
  <si>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</si>
  <si>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</si>
  <si>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</si>
  <si>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</si>
  <si>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</si>
  <si>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</si>
  <si>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</si>
  <si>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</si>
  <si>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</si>
  <si>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</si>
  <si>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</si>
  <si>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</si>
  <si>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</si>
  <si>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</si>
  <si>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</si>
  <si>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</si>
  <si>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</si>
  <si>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</si>
  <si>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</si>
  <si>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</si>
  <si>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</si>
  <si>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</si>
  <si>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</si>
  <si>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</si>
  <si>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</si>
  <si>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</si>
  <si>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</si>
  <si>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</si>
  <si>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</si>
  <si>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</si>
  <si>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</si>
  <si>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</si>
  <si>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</si>
  <si>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</si>
  <si>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</si>
  <si>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</si>
  <si>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</si>
  <si>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</si>
  <si>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</si>
  <si>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</si>
  <si>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</si>
  <si>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</si>
  <si>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</si>
  <si>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</si>
  <si>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</si>
  <si>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</si>
  <si>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</si>
  <si>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</si>
  <si>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</si>
  <si>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</si>
  <si>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</si>
  <si>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</si>
  <si>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</si>
  <si>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</si>
  <si>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</si>
  <si>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</si>
  <si>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</si>
  <si>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</si>
  <si>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</si>
  <si>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</si>
  <si>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</si>
  <si>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</si>
  <si>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</si>
  <si>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</si>
  <si>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</si>
  <si>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</si>
  <si>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</si>
  <si>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</si>
  <si>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</si>
  <si>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</si>
  <si>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</si>
  <si>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</si>
  <si>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</si>
  <si>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</si>
  <si>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</si>
  <si>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</si>
  <si>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</si>
  <si>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</si>
  <si>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</si>
  <si>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</si>
  <si>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</si>
  <si>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</si>
  <si>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</si>
  <si>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</si>
  <si>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</si>
  <si>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</si>
  <si>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</si>
  <si>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</si>
  <si>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</si>
  <si>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</si>
  <si>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</si>
  <si>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</si>
  <si>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</si>
  <si>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</si>
  <si>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</si>
  <si>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</si>
  <si>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</si>
  <si>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</si>
  <si>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</si>
  <si>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</si>
  <si>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</si>
  <si>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</si>
  <si>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</si>
  <si>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</si>
  <si>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</si>
  <si>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</si>
  <si>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</si>
  <si>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</si>
  <si>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</si>
  <si>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</si>
  <si>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</si>
  <si>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</si>
  <si>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</si>
  <si>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</si>
  <si>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</si>
  <si>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</si>
  <si>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</si>
  <si>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</si>
  <si>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</si>
  <si>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</si>
  <si>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</si>
  <si>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</si>
  <si>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</si>
  <si>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</si>
  <si>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</si>
  <si>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</si>
  <si>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S.No</t>
  </si>
  <si>
    <t>Total Sales</t>
  </si>
  <si>
    <t>Sum of Total Sales</t>
  </si>
  <si>
    <t>Average of Total Sales2</t>
  </si>
  <si>
    <t>Count of S.No</t>
  </si>
  <si>
    <t>Average of Rating</t>
  </si>
  <si>
    <t>Total sales</t>
  </si>
  <si>
    <t>Avg Sales</t>
  </si>
  <si>
    <t>No of sales</t>
  </si>
  <si>
    <t>avg rating</t>
  </si>
  <si>
    <t>KPI's Requirements</t>
  </si>
  <si>
    <t>Row Labels</t>
  </si>
  <si>
    <t>Total sales by fat content</t>
  </si>
  <si>
    <t>Total sales by Item type</t>
  </si>
  <si>
    <t>Column Labels</t>
  </si>
  <si>
    <t>Total sales by outlet establishment</t>
  </si>
  <si>
    <t>Average of Total Sales</t>
  </si>
  <si>
    <t>All metrix by outlet type</t>
  </si>
  <si>
    <t>Total sales by item type</t>
  </si>
  <si>
    <t>Total sales by outlet size</t>
  </si>
  <si>
    <t>Total sales by outlet location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</si>
</sst>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quot;M&quot;"/>
    <numFmt numFmtId="165" formatCode="&quot;$&quot;0"/>
    <numFmt numFmtId="166" formatCode="0.0"/>
    <numFmt numFmtId="167" formatCode="&quot;$&quot;0.00,&quot;K&quot;"/>
    <numFmt numFmtId="168"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3" xfId="0" applyBorder="1"/>
    <xf numFmtId="0" fontId="0" fillId="0" borderId="14" xfId="0" applyBorder="1"/>
    <xf numFmtId="0" fontId="0" fillId="0" borderId="0"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22"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1" xfId="0" applyBorder="1" applyAlignment="1">
      <alignment horizontal="left"/>
    </xf>
    <xf numFmtId="0" fontId="0" fillId="0" borderId="10" xfId="0" applyBorder="1"/>
    <xf numFmtId="167" fontId="0" fillId="0" borderId="21" xfId="0" applyNumberFormat="1" applyBorder="1"/>
    <xf numFmtId="167" fontId="0" fillId="0" borderId="22" xfId="0" applyNumberFormat="1" applyBorder="1"/>
    <xf numFmtId="168" fontId="0" fillId="0" borderId="21" xfId="0" applyNumberFormat="1" applyBorder="1"/>
    <xf numFmtId="168" fontId="0" fillId="0" borderId="22" xfId="0" applyNumberFormat="1" applyBorder="1"/>
    <xf numFmtId="0" fontId="0" fillId="0" borderId="12" xfId="0" applyBorder="1"/>
    <xf numFmtId="0" fontId="0" fillId="0" borderId="14" xfId="0" pivotButton="1" applyBorder="1"/>
    <xf numFmtId="0" fontId="0" fillId="0" borderId="12" xfId="0" applyFill="1" applyBorder="1" applyAlignment="1"/>
    <xf numFmtId="0" fontId="0" fillId="0" borderId="13" xfId="0" applyFill="1" applyBorder="1" applyAlignment="1"/>
    <xf numFmtId="166" fontId="0" fillId="0" borderId="17" xfId="0" applyNumberFormat="1" applyBorder="1"/>
    <xf numFmtId="167" fontId="0" fillId="0" borderId="23" xfId="0" applyNumberFormat="1" applyBorder="1"/>
    <xf numFmtId="0" fontId="0" fillId="0" borderId="23" xfId="0" applyBorder="1" applyAlignment="1">
      <alignment horizontal="left"/>
    </xf>
    <xf numFmtId="0" fontId="0" fillId="33" borderId="12" xfId="0" applyFill="1" applyBorder="1" applyAlignment="1">
      <alignment horizontal="center"/>
    </xf>
    <xf numFmtId="167" fontId="0" fillId="0" borderId="15" xfId="0" applyNumberFormat="1" applyBorder="1"/>
    <xf numFmtId="167" fontId="0" fillId="0" borderId="18" xfId="0" applyNumberFormat="1" applyBorder="1"/>
    <xf numFmtId="0" fontId="0" fillId="0" borderId="19" xfId="0" applyNumberFormat="1" applyBorder="1"/>
    <xf numFmtId="0" fontId="0" fillId="0" borderId="20" xfId="0" applyNumberFormat="1" applyBorder="1"/>
    <xf numFmtId="0" fontId="0" fillId="0" borderId="24" xfId="0" applyNumberFormat="1" applyBorder="1"/>
    <xf numFmtId="0" fontId="0" fillId="0" borderId="19" xfId="0" applyBorder="1"/>
    <xf numFmtId="0" fontId="0" fillId="0" borderId="20" xfId="0" applyBorder="1"/>
    <xf numFmtId="0" fontId="0" fillId="0" borderId="24" xfId="0" applyBorder="1"/>
    <xf numFmtId="0" fontId="0" fillId="0" borderId="12" xfId="0" pivotButton="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18" fillId="33" borderId="11" xfId="0" applyFont="1" applyFill="1" applyBorder="1" applyAlignment="1">
      <alignment horizontal="center"/>
    </xf>
    <xf numFmtId="0" fontId="0" fillId="33" borderId="13" xfId="0"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ill>
        <patternFill>
          <bgColor theme="7" tint="0.39994506668294322"/>
        </patternFill>
      </fill>
    </dxf>
    <dxf>
      <fill>
        <patternFill>
          <bgColor rgb="FFFFC000"/>
        </patternFill>
      </fill>
      <border>
        <left style="medium">
          <color theme="1" tint="0.499984740745262"/>
        </left>
        <right style="medium">
          <color theme="1" tint="0.499984740745262"/>
        </right>
        <top style="medium">
          <color theme="1" tint="0.499984740745262"/>
        </top>
        <bottom style="medium">
          <color theme="1" tint="0.499984740745262"/>
        </bottom>
      </border>
    </dxf>
    <dxf>
      <fill>
        <patternFill>
          <bgColor theme="7" tint="0.599963377788628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6" defaultTableStyle="TableStyleMedium2" defaultPivotStyle="PivotStyleLight16">
    <tableStyle name="slicer analysis" pivot="0" table="0" count="1">
      <tableStyleElement type="wholeTable" dxfId="35"/>
    </tableStyle>
    <tableStyle name="slicer analysis 2" pivot="0" table="0" count="1">
      <tableStyleElement type="wholeTable" dxfId="34"/>
    </tableStyle>
    <tableStyle name="slicer analysis blinkit" pivot="0" table="0" count="10">
      <tableStyleElement type="wholeTable" dxfId="32"/>
      <tableStyleElement type="headerRow" dxfId="31"/>
    </tableStyle>
    <tableStyle name="slicer analysis blinkit 2" pivot="0" table="0" count="10">
      <tableStyleElement type="wholeTable" dxfId="30"/>
      <tableStyleElement type="headerRow" dxfId="29"/>
    </tableStyle>
    <tableStyle name="slicer analysis blinkit 3" pivot="0" table="0" count="10">
      <tableStyleElement type="wholeTable" dxfId="28"/>
      <tableStyleElement type="headerRow" dxfId="27"/>
    </tableStyle>
    <tableStyle name="Slicer Style 1" pivot="0" table="0" count="1">
      <tableStyleElement type="wholeTable" dxfId="33"/>
    </tableStyle>
  </tableStyles>
  <colors>
    <mruColors>
      <color rgb="FFEEB5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analysis"/>
        <x14:slicerStyle name="slicer analysis 2"/>
        <x14:slicerStyle name="slicer analysis blinkit">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analysis blinkit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analysis blinkit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 &amp; charts'!$B$11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'KPI &amp; charts'!$A$12:$A$13</c:f>
              <c:strCache>
                <c:ptCount val="2"/>
                <c:pt idx="0">
                  <c:v>Low Fat</c:v>
                </c:pt>
                <c:pt idx="1">
                  <c:v>Regular</c:v>
                </c:pt>
              </c:strCache>
            </c:strRef>
          </c:cat>
          <c:val>
            <c:numRef>
              <c:f>'KPI &amp; charts'!$B$12:$B$13</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'KPI &amp; charts'!$B$19:$B$20</c:f>
              <c:strCache>
                <c:ptCount val="1"/>
                <c:pt idx="0">
                  <c:v>Regular</c:v>
                </c:pt>
              </c:strCache>
            </c:strRef>
          </c:tx>
          <c:spPr>
            <a:solidFill>
              <a:schemeClr val="accent1"/>
            </a:solidFill>
            <a:ln>
              <a:noFill/>
            </a:ln>
            <a:effectLst/>
          </c:spPr>
          <c:invertIfNegative val="0"/>
          <c:cat>
            <c:strRef>
              <c:f>'KPI &amp; charts'!$A$21:$A$23</c:f>
              <c:strCache>
                <c:ptCount val="3"/>
                <c:pt idx="0">
                  <c:v>Tier 1</c:v>
                </c:pt>
                <c:pt idx="1">
                  <c:v>Tier 2</c:v>
                </c:pt>
                <c:pt idx="2">
                  <c:v>Tier 3</c:v>
                </c:pt>
              </c:strCache>
            </c:strRef>
          </c:cat>
          <c:val>
            <c:numRef>
              <c:f>'KPI &amp; charts'!$B$21:$B$23</c:f>
              <c:numCache>
                <c:formatCode>"$"0.00,"K"</c:formatCode>
                <c:ptCount val="3"/>
                <c:pt idx="0">
                  <c:v>121349.89940000001</c:v>
                </c:pt>
                <c:pt idx="1">
                  <c:v>138685.86819999994</c:v>
                </c:pt>
                <c:pt idx="2">
                  <c:v>165326.0368</c:v>
                </c:pt>
              </c:numCache>
            </c:numRef>
          </c:val>
        </c:ser>
        <c:ser>
          <c:idx val="1"/>
          <c:order val="1"/>
          <c:tx>
            <c:strRef>
              <c:f>'KPI &amp; charts'!$C$19:$C$20</c:f>
              <c:strCache>
                <c:ptCount val="1"/>
                <c:pt idx="0">
                  <c:v>Low Fat</c:v>
                </c:pt>
              </c:strCache>
            </c:strRef>
          </c:tx>
          <c:spPr>
            <a:solidFill>
              <a:schemeClr val="accent2"/>
            </a:solidFill>
            <a:ln>
              <a:noFill/>
            </a:ln>
            <a:effectLst/>
          </c:spPr>
          <c:invertIfNegative val="0"/>
          <c:cat>
            <c:strRef>
              <c:f>'KPI &amp; charts'!$A$21:$A$23</c:f>
              <c:strCache>
                <c:ptCount val="3"/>
                <c:pt idx="0">
                  <c:v>Tier 1</c:v>
                </c:pt>
                <c:pt idx="1">
                  <c:v>Tier 2</c:v>
                </c:pt>
                <c:pt idx="2">
                  <c:v>Tier 3</c:v>
                </c:pt>
              </c:strCache>
            </c:strRef>
          </c:cat>
          <c:val>
            <c:numRef>
              <c:f>'KPI &amp; charts'!$C$21:$C$23</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82"/>
        <c:axId val="309258360"/>
        <c:axId val="309258752"/>
      </c:barChart>
      <c:catAx>
        <c:axId val="309258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258752"/>
        <c:crosses val="autoZero"/>
        <c:auto val="1"/>
        <c:lblAlgn val="ctr"/>
        <c:lblOffset val="100"/>
        <c:noMultiLvlLbl val="0"/>
      </c:catAx>
      <c:valAx>
        <c:axId val="309258752"/>
        <c:scaling>
          <c:orientation val="minMax"/>
        </c:scaling>
        <c:delete val="1"/>
        <c:axPos val="b"/>
        <c:numFmt formatCode="&quot;$&quot;0.00,&quot;K&quot;" sourceLinked="1"/>
        <c:majorTickMark val="none"/>
        <c:minorTickMark val="none"/>
        <c:tickLblPos val="nextTo"/>
        <c:crossAx val="30925836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charts!PivotTable4</c:name>
    <c:fmtId val="6"/>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 &amp; charts'!$B$27</c:f>
              <c:strCache>
                <c:ptCount val="1"/>
                <c:pt idx="0">
                  <c:v>Total</c:v>
                </c:pt>
              </c:strCache>
            </c:strRef>
          </c:tx>
          <c:spPr>
            <a:solidFill>
              <a:schemeClr val="accent1"/>
            </a:solidFill>
            <a:ln>
              <a:noFill/>
            </a:ln>
            <a:effectLst/>
          </c:spPr>
          <c:invertIfNegative val="0"/>
          <c:cat>
            <c:strRef>
              <c:f>'KPI &amp; charts'!$A$28:$A$43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charts'!$B$28:$B$43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82"/>
        <c:axId val="311239272"/>
        <c:axId val="311233392"/>
      </c:barChart>
      <c:catAx>
        <c:axId val="311239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33392"/>
        <c:crosses val="autoZero"/>
        <c:auto val="1"/>
        <c:lblAlgn val="ctr"/>
        <c:lblOffset val="100"/>
        <c:noMultiLvlLbl val="0"/>
      </c:catAx>
      <c:valAx>
        <c:axId val="3112333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39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charts!PivotTable5</c:name>
    <c:fmtId val="9"/>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'KPI &amp; charts'!$B$46</c:f>
              <c:strCache>
                <c:ptCount val="1"/>
                <c:pt idx="0">
                  <c:v>Total</c:v>
                </c:pt>
              </c:strCache>
            </c:strRef>
          </c:tx>
          <c:spPr>
            <a:solidFill>
              <a:schemeClr val="accent1"/>
            </a:solidFill>
            <a:ln>
              <a:noFill/>
            </a:ln>
            <a:effectLst/>
          </c:spPr>
          <c:cat>
            <c:strRef>
              <c:f>'KPI &amp; charts'!$A$47:$A$55</c:f>
              <c:strCache>
                <c:ptCount val="9"/>
                <c:pt idx="0">
                  <c:v>2011</c:v>
                </c:pt>
                <c:pt idx="1">
                  <c:v>2012</c:v>
                </c:pt>
                <c:pt idx="2">
                  <c:v>2014</c:v>
                </c:pt>
                <c:pt idx="3">
                  <c:v>2015</c:v>
                </c:pt>
                <c:pt idx="4">
                  <c:v>2016</c:v>
                </c:pt>
                <c:pt idx="5">
                  <c:v>2017</c:v>
                </c:pt>
                <c:pt idx="6">
                  <c:v>2018</c:v>
                </c:pt>
                <c:pt idx="7">
                  <c:v>2020</c:v>
                </c:pt>
                <c:pt idx="8">
                  <c:v>2022</c:v>
                </c:pt>
              </c:strCache>
            </c:strRef>
          </c:cat>
          <c:val>
            <c:numRef>
              <c:f>'KPI &amp; charts'!$B$47:$B$55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311235744"/>
        <c:axId val="311236136"/>
      </c:areaChart>
      <c:catAx>
        <c:axId val="31123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36136"/>
        <c:crosses val="autoZero"/>
        <c:auto val="1"/>
        <c:lblAlgn val="ctr"/>
        <c:lblOffset val="100"/>
        <c:noMultiLvlLbl val="0"/>
      </c:catAx>
      <c:valAx>
        <c:axId val="311236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3574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charts!PivotTable6</c:name>
    <c:fmtId val="1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 &amp; charts'!$B$59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'KPI &amp; charts'!$A$60:$A$62</c:f>
              <c:strCache>
                <c:ptCount val="3"/>
                <c:pt idx="0">
                  <c:v>High</c:v>
                </c:pt>
                <c:pt idx="1">
                  <c:v>Medium</c:v>
                </c:pt>
                <c:pt idx="2">
                  <c:v>Small</c:v>
                </c:pt>
              </c:strCache>
            </c:strRef>
          </c:cat>
          <c:val>
            <c:numRef>
              <c:f>'KPI &amp; charts'!$B$60:$B$62</c:f>
              <c:numCache>
                <c:formatCode>"$"0.00,"K"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charts!PivotTable7</c:name>
    <c:fmtId val="16"/>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 &amp; charts'!$B$73</c:f>
              <c:strCache>
                <c:ptCount val="1"/>
                <c:pt idx="0">
                  <c:v>Total</c:v>
                </c:pt>
              </c:strCache>
            </c:strRef>
          </c:tx>
          <c:spPr>
            <a:solidFill>
              <a:schemeClr val="accent1"/>
            </a:solidFill>
            <a:ln>
              <a:noFill/>
            </a:ln>
            <a:effectLst/>
          </c:spPr>
          <c:invertIfNegative val="0"/>
          <c:cat>
            <c:strRef>
              <c:f>'KPI &amp; charts'!$A$74:$A$76</c:f>
              <c:strCache>
                <c:ptCount val="3"/>
                <c:pt idx="0">
                  <c:v>Tier 1</c:v>
                </c:pt>
                <c:pt idx="1">
                  <c:v>Tier 2</c:v>
                </c:pt>
                <c:pt idx="2">
                  <c:v>Tier 3</c:v>
                </c:pt>
              </c:strCache>
            </c:strRef>
          </c:cat>
          <c:val>
            <c:numRef>
              <c:f>'KPI &amp; charts'!$B$74:$B$76</c:f>
              <c:numCache>
                <c:formatCode>"$"0.00,"K"</c:formatCode>
                <c:ptCount val="3"/>
                <c:pt idx="0">
                  <c:v>336397.81199999945</c:v>
                </c:pt>
                <c:pt idx="1">
                  <c:v>393150.64759999956</c:v>
                </c:pt>
                <c:pt idx="2">
                  <c:v>472133.03319999954</c:v>
                </c:pt>
              </c:numCache>
            </c:numRef>
          </c:val>
        </c:ser>
        <c:dLbls>
          <c:showLegendKey val="0"/>
          <c:showVal val="0"/>
          <c:showCatName val="0"/>
          <c:showSerName val="0"/>
          <c:showPercent val="0"/>
          <c:showBubbleSize val="0"/>
        </c:dLbls>
        <c:gapWidth val="182"/>
        <c:axId val="311238488"/>
        <c:axId val="270277728"/>
      </c:barChart>
      <c:catAx>
        <c:axId val="311238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277728"/>
        <c:crosses val="autoZero"/>
        <c:auto val="1"/>
        <c:lblAlgn val="ctr"/>
        <c:lblOffset val="100"/>
        <c:noMultiLvlLbl val="0"/>
      </c:catAx>
      <c:valAx>
        <c:axId val="27027772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311238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charts!PivotTable8</c:name>
    <c:fmtId val="49"/>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 &amp; charts'!$B$87</c:f>
              <c:strCache>
                <c:ptCount val="1"/>
                <c:pt idx="0">
                  <c:v>Total</c:v>
                </c:pt>
              </c:strCache>
            </c:strRef>
          </c:tx>
          <c:spPr>
            <a:solidFill>
              <a:schemeClr val="accent1"/>
            </a:solidFill>
            <a:ln>
              <a:noFill/>
            </a:ln>
            <a:effectLst/>
          </c:spPr>
          <c:invertIfNegative val="0"/>
          <c:cat>
            <c:strRef>
              <c:f>'KPI &amp; charts'!$A$88:$A$91</c:f>
              <c:strCache>
                <c:ptCount val="4"/>
                <c:pt idx="0">
                  <c:v>Supermarket Type3</c:v>
                </c:pt>
                <c:pt idx="1">
                  <c:v>Supermarket Type2</c:v>
                </c:pt>
                <c:pt idx="2">
                  <c:v>Grocery Store</c:v>
                </c:pt>
                <c:pt idx="3">
                  <c:v>Supermarket Type1</c:v>
                </c:pt>
              </c:strCache>
            </c:strRef>
          </c:cat>
          <c:val>
            <c:numRef>
              <c:f>'KPI &amp; charts'!$B$88:$B$91</c:f>
              <c:numCache>
                <c:formatCode>"$"0.00,"K"</c:formatCode>
                <c:ptCount val="4"/>
                <c:pt idx="0">
                  <c:v>130714.67460000006</c:v>
                </c:pt>
                <c:pt idx="1">
                  <c:v>131477.77639999994</c:v>
                </c:pt>
                <c:pt idx="2">
                  <c:v>151939.149</c:v>
                </c:pt>
                <c:pt idx="3">
                  <c:v>787549.89280000131</c:v>
                </c:pt>
              </c:numCache>
            </c:numRef>
          </c:val>
        </c:ser>
        <c:dLbls>
          <c:showLegendKey val="0"/>
          <c:showVal val="0"/>
          <c:showCatName val="0"/>
          <c:showSerName val="0"/>
          <c:showPercent val="0"/>
          <c:showBubbleSize val="0"/>
        </c:dLbls>
        <c:gapWidth val="182"/>
        <c:axId val="154460072"/>
        <c:axId val="313219664"/>
      </c:barChart>
      <c:catAx>
        <c:axId val="154460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313219664"/>
        <c:crosses val="autoZero"/>
        <c:auto val="1"/>
        <c:lblAlgn val="ctr"/>
        <c:lblOffset val="100"/>
        <c:noMultiLvlLbl val="0"/>
      </c:catAx>
      <c:valAx>
        <c:axId val="313219664"/>
        <c:scaling>
          <c:orientation val="minMax"/>
        </c:scaling>
        <c:delete val="1"/>
        <c:axPos val="b"/>
        <c:numFmt formatCode="&quot;$&quot;0.00,&quot;K&quot;" sourceLinked="1"/>
        <c:majorTickMark val="none"/>
        <c:minorTickMark val="none"/>
        <c:tickLblPos val="nextTo"/>
        <c:crossAx val="154460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charts!PivotTable9</c:name>
    <c:fmtId val="4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 &amp; charts'!$B$95</c:f>
              <c:strCache>
                <c:ptCount val="1"/>
                <c:pt idx="0">
                  <c:v>Total</c:v>
                </c:pt>
              </c:strCache>
            </c:strRef>
          </c:tx>
          <c:spPr>
            <a:solidFill>
              <a:schemeClr val="accent1"/>
            </a:solidFill>
            <a:ln>
              <a:noFill/>
            </a:ln>
            <a:effectLst/>
          </c:spPr>
          <c:invertIfNegative val="0"/>
          <c:cat>
            <c:strRef>
              <c:f>'KPI &amp; charts'!$A$96:$A$99</c:f>
              <c:strCache>
                <c:ptCount val="4"/>
                <c:pt idx="0">
                  <c:v>Grocery Store</c:v>
                </c:pt>
                <c:pt idx="1">
                  <c:v>Supermarket Type1</c:v>
                </c:pt>
                <c:pt idx="2">
                  <c:v>Supermarket Type2</c:v>
                </c:pt>
                <c:pt idx="3">
                  <c:v>Supermarket Type3</c:v>
                </c:pt>
              </c:strCache>
            </c:strRef>
          </c:cat>
          <c:val>
            <c:numRef>
              <c:f>'KPI &amp; charts'!$B$96:$B$99</c:f>
              <c:numCache>
                <c:formatCode>"$"0.00,"K"</c:formatCode>
                <c:ptCount val="4"/>
                <c:pt idx="0">
                  <c:v>140.29468975069253</c:v>
                </c:pt>
                <c:pt idx="1">
                  <c:v>141.21389506903375</c:v>
                </c:pt>
                <c:pt idx="2">
                  <c:v>141.67863836206891</c:v>
                </c:pt>
                <c:pt idx="3">
                  <c:v>139.80179101604284</c:v>
                </c:pt>
              </c:numCache>
            </c:numRef>
          </c:val>
        </c:ser>
        <c:dLbls>
          <c:showLegendKey val="0"/>
          <c:showVal val="0"/>
          <c:showCatName val="0"/>
          <c:showSerName val="0"/>
          <c:showPercent val="0"/>
          <c:showBubbleSize val="0"/>
        </c:dLbls>
        <c:gapWidth val="182"/>
        <c:axId val="360445056"/>
        <c:axId val="360445448"/>
      </c:barChart>
      <c:catAx>
        <c:axId val="3604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445448"/>
        <c:crosses val="autoZero"/>
        <c:auto val="1"/>
        <c:lblAlgn val="ctr"/>
        <c:lblOffset val="100"/>
        <c:noMultiLvlLbl val="0"/>
      </c:catAx>
      <c:valAx>
        <c:axId val="360445448"/>
        <c:scaling>
          <c:orientation val="minMax"/>
        </c:scaling>
        <c:delete val="1"/>
        <c:axPos val="b"/>
        <c:numFmt formatCode="&quot;$&quot;0.00,&quot;K&quot;" sourceLinked="1"/>
        <c:majorTickMark val="none"/>
        <c:minorTickMark val="none"/>
        <c:tickLblPos val="nextTo"/>
        <c:crossAx val="36044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charts!PivotTable10</c:name>
    <c:fmtId val="4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 &amp; charts'!$B$108</c:f>
              <c:strCache>
                <c:ptCount val="1"/>
                <c:pt idx="0">
                  <c:v>Total</c:v>
                </c:pt>
              </c:strCache>
            </c:strRef>
          </c:tx>
          <c:spPr>
            <a:solidFill>
              <a:schemeClr val="accent1"/>
            </a:solidFill>
            <a:ln>
              <a:noFill/>
            </a:ln>
            <a:effectLst/>
          </c:spPr>
          <c:invertIfNegative val="0"/>
          <c:cat>
            <c:strRef>
              <c:f>'KPI &amp; charts'!$A$109:$A$112</c:f>
              <c:strCache>
                <c:ptCount val="4"/>
                <c:pt idx="0">
                  <c:v>Supermarket Type2</c:v>
                </c:pt>
                <c:pt idx="1">
                  <c:v>Supermarket Type3</c:v>
                </c:pt>
                <c:pt idx="2">
                  <c:v>Grocery Store</c:v>
                </c:pt>
                <c:pt idx="3">
                  <c:v>Supermarket Type1</c:v>
                </c:pt>
              </c:strCache>
            </c:strRef>
          </c:cat>
          <c:val>
            <c:numRef>
              <c:f>'KPI &amp; charts'!$B$109:$B$112</c:f>
              <c:numCache>
                <c:formatCode>"$"0.00,"K"</c:formatCode>
                <c:ptCount val="4"/>
                <c:pt idx="0">
                  <c:v>928</c:v>
                </c:pt>
                <c:pt idx="1">
                  <c:v>935</c:v>
                </c:pt>
                <c:pt idx="2">
                  <c:v>1083</c:v>
                </c:pt>
                <c:pt idx="3">
                  <c:v>5577</c:v>
                </c:pt>
              </c:numCache>
            </c:numRef>
          </c:val>
        </c:ser>
        <c:dLbls>
          <c:showLegendKey val="0"/>
          <c:showVal val="0"/>
          <c:showCatName val="0"/>
          <c:showSerName val="0"/>
          <c:showPercent val="0"/>
          <c:showBubbleSize val="0"/>
        </c:dLbls>
        <c:gapWidth val="182"/>
        <c:axId val="363688816"/>
        <c:axId val="363689208"/>
      </c:barChart>
      <c:catAx>
        <c:axId val="36368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89208"/>
        <c:crosses val="autoZero"/>
        <c:auto val="1"/>
        <c:lblAlgn val="ctr"/>
        <c:lblOffset val="100"/>
        <c:noMultiLvlLbl val="0"/>
      </c:catAx>
      <c:valAx>
        <c:axId val="363689208"/>
        <c:scaling>
          <c:orientation val="minMax"/>
        </c:scaling>
        <c:delete val="1"/>
        <c:axPos val="b"/>
        <c:numFmt formatCode="&quot;$&quot;0.00,&quot;K&quot;" sourceLinked="1"/>
        <c:majorTickMark val="none"/>
        <c:minorTickMark val="none"/>
        <c:tickLblPos val="nextTo"/>
        <c:crossAx val="363688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EEB5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EEB500"/>
          </a:solidFill>
          <a:ln w="19050">
            <a:noFill/>
          </a:ln>
          <a:effectLst/>
        </c:spPr>
        <c:dLbl>
          <c:idx val="0"/>
          <c:layout>
            <c:manualLayout>
              <c:x val="8.2914770703913357E-2"/>
              <c:y val="0.1125"/>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7904522613065324"/>
                  <c:h val="0.15606249999999999"/>
                </c:manualLayout>
              </c15:layout>
            </c:ext>
          </c:extLst>
        </c:dLbl>
      </c:pivotFmt>
      <c:pivotFmt>
        <c:idx val="6"/>
        <c:spPr>
          <a:solidFill>
            <a:schemeClr val="accent6">
              <a:lumMod val="75000"/>
            </a:schemeClr>
          </a:solidFill>
          <a:ln w="19050">
            <a:noFill/>
          </a:ln>
          <a:effectLst/>
        </c:spPr>
        <c:dLbl>
          <c:idx val="0"/>
          <c:layout>
            <c:manualLayout>
              <c:x val="-8.2914375024729953E-2"/>
              <c:y val="-8.125000000000000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402010050251254"/>
                  <c:h val="0.15606249999999999"/>
                </c:manualLayout>
              </c15:layout>
            </c:ext>
          </c:extLst>
        </c:dLbl>
      </c:pivotFmt>
    </c:pivotFmts>
    <c:plotArea>
      <c:layout>
        <c:manualLayout>
          <c:layoutTarget val="inner"/>
          <c:xMode val="edge"/>
          <c:yMode val="edge"/>
          <c:x val="0.19422745588877097"/>
          <c:y val="0.15250051352276617"/>
          <c:w val="0.53699956938663507"/>
          <c:h val="0.76871190274282919"/>
        </c:manualLayout>
      </c:layout>
      <c:doughnutChart>
        <c:varyColors val="1"/>
        <c:ser>
          <c:idx val="0"/>
          <c:order val="0"/>
          <c:tx>
            <c:strRef>
              <c:f>'KPI &amp; charts'!$B$11</c:f>
              <c:strCache>
                <c:ptCount val="1"/>
                <c:pt idx="0">
                  <c:v>Total</c:v>
                </c:pt>
              </c:strCache>
            </c:strRef>
          </c:tx>
          <c:spPr>
            <a:solidFill>
              <a:srgbClr val="EEB500"/>
            </a:solidFill>
            <a:ln>
              <a:noFill/>
            </a:ln>
          </c:spPr>
          <c:dPt>
            <c:idx val="0"/>
            <c:bubble3D val="0"/>
            <c:spPr>
              <a:solidFill>
                <a:srgbClr val="EEB500"/>
              </a:solidFill>
              <a:ln w="19050">
                <a:noFill/>
              </a:ln>
              <a:effectLst/>
            </c:spPr>
          </c:dPt>
          <c:dPt>
            <c:idx val="1"/>
            <c:bubble3D val="0"/>
            <c:spPr>
              <a:solidFill>
                <a:schemeClr val="accent6">
                  <a:lumMod val="75000"/>
                </a:schemeClr>
              </a:solidFill>
              <a:ln w="19050">
                <a:noFill/>
              </a:ln>
              <a:effectLst/>
            </c:spPr>
          </c:dPt>
          <c:dLbls>
            <c:dLbl>
              <c:idx val="0"/>
              <c:layout>
                <c:manualLayout>
                  <c:x val="8.2914770703913357E-2"/>
                  <c:y val="0.1125"/>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17904522613065324"/>
                      <c:h val="0.15606249999999999"/>
                    </c:manualLayout>
                  </c15:layout>
                </c:ext>
              </c:extLst>
            </c:dLbl>
            <c:dLbl>
              <c:idx val="1"/>
              <c:layout>
                <c:manualLayout>
                  <c:x val="-8.2914375024729953E-2"/>
                  <c:y val="-8.1250000000000003E-2"/>
                </c:manualLayout>
              </c:layout>
              <c:showLegendKey val="0"/>
              <c:showVal val="1"/>
              <c:showCatName val="0"/>
              <c:showSerName val="0"/>
              <c:showPercent val="1"/>
              <c:showBubbleSize val="0"/>
              <c:extLst>
                <c:ext xmlns:c15="http://schemas.microsoft.com/office/drawing/2012/chart" uri="{CE6537A1-D6FC-4f65-9D91-7224C49458BB}">
                  <c15:layout>
                    <c:manualLayout>
                      <c:w val="0.17402010050251254"/>
                      <c:h val="0.15606249999999999"/>
                    </c:manualLayout>
                  </c15:layout>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charts'!$A$12:$A$13</c:f>
              <c:strCache>
                <c:ptCount val="2"/>
                <c:pt idx="0">
                  <c:v>Low Fat</c:v>
                </c:pt>
                <c:pt idx="1">
                  <c:v>Regular</c:v>
                </c:pt>
              </c:strCache>
            </c:strRef>
          </c:cat>
          <c:val>
            <c:numRef>
              <c:f>'KPI &amp; charts'!$B$12:$B$13</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2499019017971591"/>
          <c:y val="3.937007874015748E-2"/>
          <c:w val="0.61712925419206321"/>
          <c:h val="0.1328749457498915"/>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rgbClr val="EEB5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857117579403699"/>
          <c:y val="0.12379921259842519"/>
          <c:w val="0.73397564068536381"/>
          <c:h val="0.85697001817080576"/>
        </c:manualLayout>
      </c:layout>
      <c:barChart>
        <c:barDir val="bar"/>
        <c:grouping val="clustered"/>
        <c:varyColors val="0"/>
        <c:ser>
          <c:idx val="0"/>
          <c:order val="0"/>
          <c:tx>
            <c:strRef>
              <c:f>'KPI &amp; charts'!$B$19:$B$20</c:f>
              <c:strCache>
                <c:ptCount val="1"/>
                <c:pt idx="0">
                  <c:v>Regular</c:v>
                </c:pt>
              </c:strCache>
            </c:strRef>
          </c:tx>
          <c:spPr>
            <a:solidFill>
              <a:schemeClr val="accent6">
                <a:lumMod val="75000"/>
              </a:schemeClr>
            </a:solidFill>
            <a:ln>
              <a:noFill/>
            </a:ln>
            <a:effectLst/>
          </c:spPr>
          <c:invertIfNegative val="0"/>
          <c:cat>
            <c:strRef>
              <c:f>'KPI &amp; charts'!$A$21:$A$23</c:f>
              <c:strCache>
                <c:ptCount val="3"/>
                <c:pt idx="0">
                  <c:v>Tier 1</c:v>
                </c:pt>
                <c:pt idx="1">
                  <c:v>Tier 2</c:v>
                </c:pt>
                <c:pt idx="2">
                  <c:v>Tier 3</c:v>
                </c:pt>
              </c:strCache>
            </c:strRef>
          </c:cat>
          <c:val>
            <c:numRef>
              <c:f>'KPI &amp; charts'!$B$21:$B$23</c:f>
              <c:numCache>
                <c:formatCode>"$"0.00,"K"</c:formatCode>
                <c:ptCount val="3"/>
                <c:pt idx="0">
                  <c:v>121349.89940000001</c:v>
                </c:pt>
                <c:pt idx="1">
                  <c:v>138685.86819999994</c:v>
                </c:pt>
                <c:pt idx="2">
                  <c:v>165326.0368</c:v>
                </c:pt>
              </c:numCache>
            </c:numRef>
          </c:val>
        </c:ser>
        <c:ser>
          <c:idx val="1"/>
          <c:order val="1"/>
          <c:tx>
            <c:strRef>
              <c:f>'KPI &amp; charts'!$C$19:$C$20</c:f>
              <c:strCache>
                <c:ptCount val="1"/>
                <c:pt idx="0">
                  <c:v>Low Fat</c:v>
                </c:pt>
              </c:strCache>
            </c:strRef>
          </c:tx>
          <c:spPr>
            <a:solidFill>
              <a:srgbClr val="EEB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 &amp; charts'!$A$21:$A$23</c:f>
              <c:strCache>
                <c:ptCount val="3"/>
                <c:pt idx="0">
                  <c:v>Tier 1</c:v>
                </c:pt>
                <c:pt idx="1">
                  <c:v>Tier 2</c:v>
                </c:pt>
                <c:pt idx="2">
                  <c:v>Tier 3</c:v>
                </c:pt>
              </c:strCache>
            </c:strRef>
          </c:cat>
          <c:val>
            <c:numRef>
              <c:f>'KPI &amp; charts'!$C$21:$C$23</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75"/>
        <c:axId val="270274592"/>
        <c:axId val="270272240"/>
      </c:barChart>
      <c:catAx>
        <c:axId val="270274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272240"/>
        <c:crosses val="autoZero"/>
        <c:auto val="1"/>
        <c:lblAlgn val="ctr"/>
        <c:lblOffset val="100"/>
        <c:noMultiLvlLbl val="0"/>
      </c:catAx>
      <c:valAx>
        <c:axId val="270272240"/>
        <c:scaling>
          <c:orientation val="minMax"/>
        </c:scaling>
        <c:delete val="1"/>
        <c:axPos val="b"/>
        <c:numFmt formatCode="&quot;$&quot;0.00,&quot;K&quot;" sourceLinked="1"/>
        <c:majorTickMark val="none"/>
        <c:minorTickMark val="none"/>
        <c:tickLblPos val="nextTo"/>
        <c:crossAx val="270274592"/>
        <c:crosses val="autoZero"/>
        <c:crossBetween val="between"/>
      </c:valAx>
      <c:spPr>
        <a:noFill/>
        <a:ln>
          <a:noFill/>
        </a:ln>
        <a:effectLst/>
      </c:spPr>
    </c:plotArea>
    <c:legend>
      <c:legendPos val="t"/>
      <c:layout>
        <c:manualLayout>
          <c:xMode val="edge"/>
          <c:yMode val="edge"/>
          <c:x val="0.18107582057860744"/>
          <c:y val="0"/>
          <c:w val="0.60788522221239194"/>
          <c:h val="0.150647334948516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charts!PivotTable4</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EB5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EEB500"/>
          </a:solidFill>
          <a:ln>
            <a:noFill/>
          </a:ln>
          <a:effectLst/>
        </c:spPr>
        <c:dLbl>
          <c:idx val="0"/>
          <c:layout>
            <c:manualLayout>
              <c:x val="-2.9197080291970837E-2"/>
              <c:y val="2.4533060456257314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95620437956197"/>
                  <c:h val="7.2783109404990415E-2"/>
                </c:manualLayout>
              </c15:layout>
            </c:ext>
          </c:extLst>
        </c:dLbl>
      </c:pivotFmt>
      <c:pivotFmt>
        <c:idx val="4"/>
        <c:spPr>
          <a:solidFill>
            <a:srgbClr val="EEB500"/>
          </a:solidFill>
          <a:ln>
            <a:noFill/>
          </a:ln>
          <a:effectLst/>
        </c:spPr>
        <c:dLbl>
          <c:idx val="0"/>
          <c:layout>
            <c:manualLayout>
              <c:x val="-2.1897810218978117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7591240875912"/>
                  <c:h val="7.2783109404990415E-2"/>
                </c:manualLayout>
              </c15:layout>
            </c:ext>
          </c:extLst>
        </c:dLbl>
      </c:pivotFmt>
      <c:pivotFmt>
        <c:idx val="5"/>
        <c:spPr>
          <a:solidFill>
            <a:srgbClr val="EEB500"/>
          </a:solidFill>
          <a:ln>
            <a:noFill/>
          </a:ln>
          <a:effectLst/>
        </c:spPr>
        <c:dLbl>
          <c:idx val="0"/>
          <c:layout>
            <c:manualLayout>
              <c:x val="-1.8247887809644366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45985401459851"/>
                  <c:h val="7.2783109404990415E-2"/>
                </c:manualLayout>
              </c15:layout>
            </c:ext>
          </c:extLst>
        </c:dLbl>
      </c:pivotFmt>
      <c:pivotFmt>
        <c:idx val="6"/>
        <c:spPr>
          <a:solidFill>
            <a:srgbClr val="EEB5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45985401459851"/>
                  <c:h val="7.2783109404990415E-2"/>
                </c:manualLayout>
              </c15:layout>
            </c:ext>
          </c:extLst>
        </c:dLbl>
      </c:pivotFmt>
      <c:pivotFmt>
        <c:idx val="7"/>
        <c:spPr>
          <a:solidFill>
            <a:srgbClr val="EEB5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05839416058392"/>
                  <c:h val="7.2783109404990415E-2"/>
                </c:manualLayout>
              </c15:layout>
            </c:ext>
          </c:extLst>
        </c:dLbl>
      </c:pivotFmt>
    </c:pivotFmts>
    <c:plotArea>
      <c:layout>
        <c:manualLayout>
          <c:layoutTarget val="inner"/>
          <c:xMode val="edge"/>
          <c:yMode val="edge"/>
          <c:x val="0.44792746709581011"/>
          <c:y val="5.768646001783366E-2"/>
          <c:w val="0.48637910224725561"/>
          <c:h val="0.90853144316653311"/>
        </c:manualLayout>
      </c:layout>
      <c:barChart>
        <c:barDir val="bar"/>
        <c:grouping val="clustered"/>
        <c:varyColors val="0"/>
        <c:ser>
          <c:idx val="0"/>
          <c:order val="0"/>
          <c:tx>
            <c:strRef>
              <c:f>'KPI &amp; charts'!$B$27</c:f>
              <c:strCache>
                <c:ptCount val="1"/>
                <c:pt idx="0">
                  <c:v>Total</c:v>
                </c:pt>
              </c:strCache>
            </c:strRef>
          </c:tx>
          <c:spPr>
            <a:solidFill>
              <a:srgbClr val="EEB500"/>
            </a:solidFill>
            <a:ln>
              <a:noFill/>
            </a:ln>
            <a:effectLst/>
          </c:spPr>
          <c:invertIfNegative val="0"/>
          <c:dPt>
            <c:idx val="11"/>
            <c:invertIfNegative val="0"/>
            <c:bubble3D val="0"/>
            <c:spPr>
              <a:solidFill>
                <a:srgbClr val="EEB500"/>
              </a:solidFill>
              <a:ln>
                <a:noFill/>
              </a:ln>
              <a:effectLst/>
            </c:spPr>
          </c:dPt>
          <c:dPt>
            <c:idx val="12"/>
            <c:invertIfNegative val="0"/>
            <c:bubble3D val="0"/>
            <c:spPr>
              <a:solidFill>
                <a:srgbClr val="EEB500"/>
              </a:solidFill>
              <a:ln>
                <a:noFill/>
              </a:ln>
              <a:effectLst/>
            </c:spPr>
          </c:dPt>
          <c:dPt>
            <c:idx val="13"/>
            <c:invertIfNegative val="0"/>
            <c:bubble3D val="0"/>
            <c:spPr>
              <a:solidFill>
                <a:srgbClr val="EEB500"/>
              </a:solidFill>
              <a:ln>
                <a:noFill/>
              </a:ln>
              <a:effectLst/>
            </c:spPr>
          </c:dPt>
          <c:dPt>
            <c:idx val="14"/>
            <c:invertIfNegative val="0"/>
            <c:bubble3D val="0"/>
            <c:spPr>
              <a:solidFill>
                <a:srgbClr val="EEB500"/>
              </a:solidFill>
              <a:ln>
                <a:noFill/>
              </a:ln>
              <a:effectLst/>
            </c:spPr>
          </c:dPt>
          <c:dPt>
            <c:idx val="15"/>
            <c:invertIfNegative val="0"/>
            <c:bubble3D val="0"/>
            <c:spPr>
              <a:solidFill>
                <a:srgbClr val="EEB500"/>
              </a:solidFill>
              <a:ln>
                <a:noFill/>
              </a:ln>
              <a:effectLst/>
            </c:spPr>
          </c:dPt>
          <c:dLbls>
            <c:dLbl>
              <c:idx val="11"/>
              <c:layout/>
              <c:dLblPos val="outEnd"/>
              <c:showLegendKey val="0"/>
              <c:showVal val="1"/>
              <c:showCatName val="0"/>
              <c:showSerName val="0"/>
              <c:showPercent val="0"/>
              <c:showBubbleSize val="0"/>
              <c:extLst>
                <c:ext xmlns:c15="http://schemas.microsoft.com/office/drawing/2012/chart" uri="{CE6537A1-D6FC-4f65-9D91-7224C49458BB}">
                  <c15:layout>
                    <c:manualLayout>
                      <c:w val="0.24605839416058392"/>
                      <c:h val="7.2783109404990415E-2"/>
                    </c:manualLayout>
                  </c15:layout>
                </c:ext>
              </c:extLst>
            </c:dLbl>
            <c:dLbl>
              <c:idx val="12"/>
              <c:layout/>
              <c:dLblPos val="outEnd"/>
              <c:showLegendKey val="0"/>
              <c:showVal val="1"/>
              <c:showCatName val="0"/>
              <c:showSerName val="0"/>
              <c:showPercent val="0"/>
              <c:showBubbleSize val="0"/>
              <c:extLst>
                <c:ext xmlns:c15="http://schemas.microsoft.com/office/drawing/2012/chart" uri="{CE6537A1-D6FC-4f65-9D91-7224C49458BB}">
                  <c15:layout>
                    <c:manualLayout>
                      <c:w val="0.23145985401459851"/>
                      <c:h val="7.2783109404990415E-2"/>
                    </c:manualLayout>
                  </c15:layout>
                </c:ext>
              </c:extLst>
            </c:dLbl>
            <c:dLbl>
              <c:idx val="13"/>
              <c:layout>
                <c:manualLayout>
                  <c:x val="-2.9197080291970837E-2"/>
                  <c:y val="2.4533060456257314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795620437956197"/>
                      <c:h val="7.2783109404990415E-2"/>
                    </c:manualLayout>
                  </c15:layout>
                </c:ext>
              </c:extLst>
            </c:dLbl>
            <c:dLbl>
              <c:idx val="14"/>
              <c:layout>
                <c:manualLayout>
                  <c:x val="-2.1897810218978117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87591240875912"/>
                      <c:h val="7.2783109404990415E-2"/>
                    </c:manualLayout>
                  </c15:layout>
                </c:ext>
              </c:extLst>
            </c:dLbl>
            <c:dLbl>
              <c:idx val="15"/>
              <c:layout>
                <c:manualLayout>
                  <c:x val="-1.824788780964436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145985401459851"/>
                      <c:h val="7.2783109404990415E-2"/>
                    </c:manualLayout>
                  </c15:layout>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 &amp; charts'!$A$28:$A$43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charts'!$B$28:$B$43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62"/>
        <c:axId val="270275768"/>
        <c:axId val="270278904"/>
      </c:barChart>
      <c:catAx>
        <c:axId val="270275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278904"/>
        <c:crosses val="autoZero"/>
        <c:auto val="1"/>
        <c:lblAlgn val="ctr"/>
        <c:lblOffset val="100"/>
        <c:noMultiLvlLbl val="0"/>
      </c:catAx>
      <c:valAx>
        <c:axId val="270278904"/>
        <c:scaling>
          <c:orientation val="minMax"/>
        </c:scaling>
        <c:delete val="1"/>
        <c:axPos val="b"/>
        <c:numFmt formatCode="&quot;$&quot;0.00,&quot;K&quot;" sourceLinked="1"/>
        <c:majorTickMark val="none"/>
        <c:minorTickMark val="none"/>
        <c:tickLblPos val="nextTo"/>
        <c:crossAx val="2702757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charts!PivotTable5</c:name>
    <c:fmtId val="11"/>
  </c:pivotSource>
  <c:chart>
    <c:autoTitleDeleted val="1"/>
    <c:pivotFmts>
      <c:pivotFmt>
        <c:idx val="0"/>
      </c:pivotFmt>
      <c:pivotFmt>
        <c:idx val="1"/>
      </c:pivotFmt>
      <c:pivotFmt>
        <c:idx val="2"/>
        <c:spPr>
          <a:solidFill>
            <a:srgbClr val="EEB500">
              <a:alpha val="70000"/>
            </a:srgbClr>
          </a:solidFill>
          <a:ln>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0"/>
              <c:y val="-0.20546779767865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1.1597847822994937E-2"/>
              <c:y val="-0.262148569452076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2.8994619557487578E-3"/>
              <c:y val="-0.255063472980398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0"/>
              <c:y val="-0.26923366592375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2.8994619557487313E-3"/>
              <c:y val="-0.26214856945207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2.8994619557487313E-3"/>
              <c:y val="-0.34716972711220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2.8994619557486251E-3"/>
              <c:y val="-0.40385049888563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5.7989239114974627E-3"/>
              <c:y val="-0.31174424475382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EEB500">
              <a:alpha val="70000"/>
            </a:srgbClr>
          </a:solidFill>
          <a:ln>
            <a:solidFill>
              <a:schemeClr val="tx1"/>
            </a:solidFill>
          </a:ln>
          <a:effectLst>
            <a:innerShdw dist="12700" dir="16200000">
              <a:schemeClr val="lt1">
                <a:alpha val="75000"/>
              </a:schemeClr>
            </a:innerShdw>
          </a:effectLst>
        </c:spPr>
        <c:dLbl>
          <c:idx val="0"/>
          <c:layout>
            <c:manualLayout>
              <c:x val="0"/>
              <c:y val="-0.269233665923754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8337174549664472E-2"/>
          <c:y val="1.4734255519834977E-2"/>
          <c:w val="0.88332565090067106"/>
          <c:h val="0.81436114240367918"/>
        </c:manualLayout>
      </c:layout>
      <c:areaChart>
        <c:grouping val="standard"/>
        <c:varyColors val="0"/>
        <c:ser>
          <c:idx val="0"/>
          <c:order val="0"/>
          <c:tx>
            <c:strRef>
              <c:f>'KPI &amp; charts'!$B$46</c:f>
              <c:strCache>
                <c:ptCount val="1"/>
                <c:pt idx="0">
                  <c:v>Total</c:v>
                </c:pt>
              </c:strCache>
            </c:strRef>
          </c:tx>
          <c:spPr>
            <a:solidFill>
              <a:srgbClr val="EEB500">
                <a:alpha val="70000"/>
              </a:srgbClr>
            </a:solidFill>
            <a:ln>
              <a:solidFill>
                <a:schemeClr val="tx1"/>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0"/>
                  <c:y val="-0.2054677976786546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1597847822994937E-2"/>
                  <c:y val="-0.26214856945207665"/>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8994619557487578E-3"/>
                  <c:y val="-0.2550634729803987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0.26923366592375436"/>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8994619557487313E-3"/>
                  <c:y val="-0.2621485694520766"/>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8994619557487313E-3"/>
                  <c:y val="-0.34716972711220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2.8994619557486251E-3"/>
                  <c:y val="-0.40385049888563157"/>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5.7989239114974627E-3"/>
                  <c:y val="-0.31174424475382079"/>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
                  <c:y val="-0.26923366592375431"/>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&amp; charts'!$A$47:$A$55</c:f>
              <c:strCache>
                <c:ptCount val="9"/>
                <c:pt idx="0">
                  <c:v>2011</c:v>
                </c:pt>
                <c:pt idx="1">
                  <c:v>2012</c:v>
                </c:pt>
                <c:pt idx="2">
                  <c:v>2014</c:v>
                </c:pt>
                <c:pt idx="3">
                  <c:v>2015</c:v>
                </c:pt>
                <c:pt idx="4">
                  <c:v>2016</c:v>
                </c:pt>
                <c:pt idx="5">
                  <c:v>2017</c:v>
                </c:pt>
                <c:pt idx="6">
                  <c:v>2018</c:v>
                </c:pt>
                <c:pt idx="7">
                  <c:v>2020</c:v>
                </c:pt>
                <c:pt idx="8">
                  <c:v>2022</c:v>
                </c:pt>
              </c:strCache>
            </c:strRef>
          </c:cat>
          <c:val>
            <c:numRef>
              <c:f>'KPI &amp; charts'!$B$47:$B$55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1"/>
          <c:showCatName val="0"/>
          <c:showSerName val="0"/>
          <c:showPercent val="0"/>
          <c:showBubbleSize val="0"/>
        </c:dLbls>
        <c:axId val="270273808"/>
        <c:axId val="270272632"/>
      </c:areaChart>
      <c:catAx>
        <c:axId val="2702738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270272632"/>
        <c:crosses val="autoZero"/>
        <c:auto val="1"/>
        <c:lblAlgn val="ctr"/>
        <c:lblOffset val="100"/>
        <c:noMultiLvlLbl val="0"/>
      </c:catAx>
      <c:valAx>
        <c:axId val="270272632"/>
        <c:scaling>
          <c:orientation val="minMax"/>
        </c:scaling>
        <c:delete val="1"/>
        <c:axPos val="l"/>
        <c:numFmt formatCode="&quot;$&quot;0.00,&quot;K&quot;" sourceLinked="1"/>
        <c:majorTickMark val="out"/>
        <c:minorTickMark val="none"/>
        <c:tickLblPos val="nextTo"/>
        <c:crossAx val="27027380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charts!PivotTable6</c:name>
    <c:fmtId val="1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EEB5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7.322122661302978E-2"/>
              <c:y val="-4.7966159308078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332959666547509"/>
                  <c:h val="0.19961916632045423"/>
                </c:manualLayout>
              </c15:layout>
            </c:ext>
          </c:extLst>
        </c:dLbl>
      </c:pivotFmt>
      <c:pivotFmt>
        <c:idx val="7"/>
        <c:spPr>
          <a:solidFill>
            <a:schemeClr val="accent6">
              <a:lumMod val="75000"/>
            </a:schemeClr>
          </a:solidFill>
          <a:ln w="19050">
            <a:noFill/>
          </a:ln>
          <a:effectLst/>
        </c:spPr>
        <c:dLbl>
          <c:idx val="0"/>
          <c:layout>
            <c:manualLayout>
              <c:x val="0.19737828297438081"/>
              <c:y val="1.59887197693594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243072082428619"/>
                  <c:h val="0.19961916632045423"/>
                </c:manualLayout>
              </c15:layout>
            </c:ext>
          </c:extLst>
        </c:dLbl>
      </c:pivotFmt>
      <c:pivotFmt>
        <c:idx val="8"/>
        <c:spPr>
          <a:solidFill>
            <a:srgbClr val="EEB500"/>
          </a:solidFill>
          <a:ln w="19050">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243072082428619"/>
                  <c:h val="0.19961916632045423"/>
                </c:manualLayout>
              </c15:layout>
            </c:ext>
          </c:extLst>
        </c:dLbl>
      </c:pivotFmt>
    </c:pivotFmts>
    <c:plotArea>
      <c:layout>
        <c:manualLayout>
          <c:layoutTarget val="inner"/>
          <c:xMode val="edge"/>
          <c:yMode val="edge"/>
          <c:x val="0.24463977836679873"/>
          <c:y val="0.23083808588586321"/>
          <c:w val="0.54255514885591283"/>
          <c:h val="0.68122395538265912"/>
        </c:manualLayout>
      </c:layout>
      <c:doughnutChart>
        <c:varyColors val="1"/>
        <c:ser>
          <c:idx val="0"/>
          <c:order val="0"/>
          <c:tx>
            <c:strRef>
              <c:f>'KPI &amp; charts'!$B$59</c:f>
              <c:strCache>
                <c:ptCount val="1"/>
                <c:pt idx="0">
                  <c:v>Total</c:v>
                </c:pt>
              </c:strCache>
            </c:strRef>
          </c:tx>
          <c:spPr>
            <a:solidFill>
              <a:srgbClr val="EEB500"/>
            </a:solidFill>
            <a:ln>
              <a:noFill/>
            </a:ln>
          </c:spPr>
          <c:dPt>
            <c:idx val="0"/>
            <c:bubble3D val="0"/>
            <c:spPr>
              <a:solidFill>
                <a:schemeClr val="accent6">
                  <a:lumMod val="60000"/>
                  <a:lumOff val="40000"/>
                </a:schemeClr>
              </a:solidFill>
              <a:ln w="19050">
                <a:noFill/>
              </a:ln>
              <a:effectLst/>
            </c:spPr>
          </c:dPt>
          <c:dPt>
            <c:idx val="1"/>
            <c:bubble3D val="0"/>
            <c:spPr>
              <a:solidFill>
                <a:schemeClr val="accent6">
                  <a:lumMod val="75000"/>
                </a:schemeClr>
              </a:solidFill>
              <a:ln w="19050">
                <a:noFill/>
              </a:ln>
              <a:effectLst/>
            </c:spPr>
          </c:dPt>
          <c:dPt>
            <c:idx val="2"/>
            <c:bubble3D val="0"/>
            <c:spPr>
              <a:solidFill>
                <a:srgbClr val="EEB500"/>
              </a:solidFill>
              <a:ln w="19050">
                <a:noFill/>
              </a:ln>
              <a:effectLst/>
            </c:spPr>
          </c:dPt>
          <c:dLbls>
            <c:dLbl>
              <c:idx val="0"/>
              <c:layout>
                <c:manualLayout>
                  <c:x val="7.322122661302978E-2"/>
                  <c:y val="-4.796615930807871E-2"/>
                </c:manualLayout>
              </c:layout>
              <c:showLegendKey val="0"/>
              <c:showVal val="1"/>
              <c:showCatName val="0"/>
              <c:showSerName val="0"/>
              <c:showPercent val="0"/>
              <c:showBubbleSize val="0"/>
              <c:extLst>
                <c:ext xmlns:c15="http://schemas.microsoft.com/office/drawing/2012/chart" uri="{CE6537A1-D6FC-4f65-9D91-7224C49458BB}">
                  <c15:layout>
                    <c:manualLayout>
                      <c:w val="0.29332959666547509"/>
                      <c:h val="0.19961916632045423"/>
                    </c:manualLayout>
                  </c15:layout>
                </c:ext>
              </c:extLst>
            </c:dLbl>
            <c:dLbl>
              <c:idx val="1"/>
              <c:layout>
                <c:manualLayout>
                  <c:x val="0.19737828297438081"/>
                  <c:y val="1.5988719769359422E-2"/>
                </c:manualLayout>
              </c:layout>
              <c:showLegendKey val="0"/>
              <c:showVal val="1"/>
              <c:showCatName val="0"/>
              <c:showSerName val="0"/>
              <c:showPercent val="0"/>
              <c:showBubbleSize val="0"/>
              <c:extLst>
                <c:ext xmlns:c15="http://schemas.microsoft.com/office/drawing/2012/chart" uri="{CE6537A1-D6FC-4f65-9D91-7224C49458BB}">
                  <c15:layout>
                    <c:manualLayout>
                      <c:w val="0.31243072082428619"/>
                      <c:h val="0.19961916632045423"/>
                    </c:manualLayout>
                  </c15:layout>
                </c:ext>
              </c:extLst>
            </c:dLbl>
            <c:dLbl>
              <c:idx val="2"/>
              <c:layout/>
              <c:showLegendKey val="0"/>
              <c:showVal val="1"/>
              <c:showCatName val="0"/>
              <c:showSerName val="0"/>
              <c:showPercent val="0"/>
              <c:showBubbleSize val="0"/>
              <c:extLst>
                <c:ext xmlns:c15="http://schemas.microsoft.com/office/drawing/2012/chart" uri="{CE6537A1-D6FC-4f65-9D91-7224C49458BB}">
                  <c15:layout>
                    <c:manualLayout>
                      <c:w val="0.31243072082428619"/>
                      <c:h val="0.1996191663204542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charts'!$A$60:$A$62</c:f>
              <c:strCache>
                <c:ptCount val="3"/>
                <c:pt idx="0">
                  <c:v>High</c:v>
                </c:pt>
                <c:pt idx="1">
                  <c:v>Medium</c:v>
                </c:pt>
                <c:pt idx="2">
                  <c:v>Small</c:v>
                </c:pt>
              </c:strCache>
            </c:strRef>
          </c:cat>
          <c:val>
            <c:numRef>
              <c:f>'KPI &amp; charts'!$B$60:$B$62</c:f>
              <c:numCache>
                <c:formatCode>"$"0.00,"K"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charts!PivotTable7</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chemeClr val="accent4">
                <a:lumMod val="75000"/>
                <a:alpha val="7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alpha val="92000"/>
            </a:schemeClr>
          </a:solidFill>
          <a:ln>
            <a:solidFill>
              <a:schemeClr val="accent4">
                <a:lumMod val="75000"/>
                <a:alpha val="77000"/>
              </a:schemeClr>
            </a:solidFill>
          </a:ln>
          <a:effectLst/>
        </c:spPr>
        <c:dLbl>
          <c:idx val="0"/>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514842485707565"/>
                  <c:h val="0.2307014621129562"/>
                </c:manualLayout>
              </c15:layout>
            </c:ext>
          </c:extLst>
        </c:dLbl>
      </c:pivotFmt>
      <c:pivotFmt>
        <c:idx val="4"/>
        <c:spPr>
          <a:solidFill>
            <a:srgbClr val="EEB500">
              <a:alpha val="79000"/>
            </a:srgbClr>
          </a:solidFill>
          <a:ln>
            <a:solidFill>
              <a:schemeClr val="accent4">
                <a:lumMod val="75000"/>
                <a:alpha val="77000"/>
              </a:schemeClr>
            </a:solidFill>
          </a:ln>
          <a:effectLst/>
        </c:spPr>
        <c:dLbl>
          <c:idx val="0"/>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3958364763726212"/>
                  <c:h val="0.2307014621129562"/>
                </c:manualLayout>
              </c15:layout>
            </c:ext>
          </c:extLst>
        </c:dLbl>
      </c:pivotFmt>
      <c:pivotFmt>
        <c:idx val="5"/>
        <c:spPr>
          <a:solidFill>
            <a:schemeClr val="accent6">
              <a:lumMod val="75000"/>
              <a:alpha val="81000"/>
            </a:schemeClr>
          </a:solidFill>
          <a:ln>
            <a:solidFill>
              <a:schemeClr val="accent4">
                <a:lumMod val="75000"/>
                <a:alpha val="77000"/>
              </a:schemeClr>
            </a:solidFill>
          </a:ln>
          <a:effectLst/>
        </c:spPr>
        <c:dLbl>
          <c:idx val="0"/>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8123575090449247"/>
                  <c:h val="0.2307014621129562"/>
                </c:manualLayout>
              </c15:layout>
            </c:ext>
          </c:extLst>
        </c:dLbl>
      </c:pivotFmt>
    </c:pivotFmts>
    <c:plotArea>
      <c:layout>
        <c:manualLayout>
          <c:layoutTarget val="inner"/>
          <c:xMode val="edge"/>
          <c:yMode val="edge"/>
          <c:x val="0.19941986913087192"/>
          <c:y val="0.10898772430389948"/>
          <c:w val="0.78867952993563373"/>
          <c:h val="0.89101227569610053"/>
        </c:manualLayout>
      </c:layout>
      <c:barChart>
        <c:barDir val="bar"/>
        <c:grouping val="clustered"/>
        <c:varyColors val="0"/>
        <c:ser>
          <c:idx val="0"/>
          <c:order val="0"/>
          <c:tx>
            <c:strRef>
              <c:f>'KPI &amp; charts'!$B$73</c:f>
              <c:strCache>
                <c:ptCount val="1"/>
                <c:pt idx="0">
                  <c:v>Total</c:v>
                </c:pt>
              </c:strCache>
            </c:strRef>
          </c:tx>
          <c:spPr>
            <a:solidFill>
              <a:schemeClr val="accent1"/>
            </a:solidFill>
            <a:ln>
              <a:solidFill>
                <a:schemeClr val="accent4">
                  <a:lumMod val="75000"/>
                  <a:alpha val="77000"/>
                </a:schemeClr>
              </a:solidFill>
            </a:ln>
            <a:effectLst/>
          </c:spPr>
          <c:invertIfNegative val="0"/>
          <c:dPt>
            <c:idx val="0"/>
            <c:invertIfNegative val="0"/>
            <c:bubble3D val="0"/>
            <c:spPr>
              <a:solidFill>
                <a:schemeClr val="accent6">
                  <a:lumMod val="75000"/>
                  <a:alpha val="81000"/>
                </a:schemeClr>
              </a:solidFill>
              <a:ln>
                <a:solidFill>
                  <a:schemeClr val="accent4">
                    <a:lumMod val="75000"/>
                    <a:alpha val="77000"/>
                  </a:schemeClr>
                </a:solidFill>
              </a:ln>
              <a:effectLst/>
            </c:spPr>
          </c:dPt>
          <c:dPt>
            <c:idx val="1"/>
            <c:invertIfNegative val="0"/>
            <c:bubble3D val="0"/>
            <c:spPr>
              <a:solidFill>
                <a:srgbClr val="EEB500">
                  <a:alpha val="79000"/>
                </a:srgbClr>
              </a:solidFill>
              <a:ln>
                <a:solidFill>
                  <a:schemeClr val="accent4">
                    <a:lumMod val="75000"/>
                    <a:alpha val="77000"/>
                  </a:schemeClr>
                </a:solidFill>
              </a:ln>
              <a:effectLst/>
            </c:spPr>
          </c:dPt>
          <c:dPt>
            <c:idx val="2"/>
            <c:invertIfNegative val="0"/>
            <c:bubble3D val="0"/>
            <c:spPr>
              <a:solidFill>
                <a:schemeClr val="accent4">
                  <a:lumMod val="75000"/>
                  <a:alpha val="92000"/>
                </a:schemeClr>
              </a:solidFill>
              <a:ln>
                <a:solidFill>
                  <a:schemeClr val="accent4">
                    <a:lumMod val="75000"/>
                    <a:alpha val="77000"/>
                  </a:schemeClr>
                </a:solidFill>
              </a:ln>
              <a:effectLst/>
            </c:spPr>
          </c:dPt>
          <c:dLbls>
            <c:dLbl>
              <c:idx val="0"/>
              <c:layout/>
              <c:dLblPos val="inBase"/>
              <c:showLegendKey val="0"/>
              <c:showVal val="1"/>
              <c:showCatName val="0"/>
              <c:showSerName val="0"/>
              <c:showPercent val="0"/>
              <c:showBubbleSize val="0"/>
              <c:extLst>
                <c:ext xmlns:c15="http://schemas.microsoft.com/office/drawing/2012/chart" uri="{CE6537A1-D6FC-4f65-9D91-7224C49458BB}">
                  <c15:layout>
                    <c:manualLayout>
                      <c:w val="0.38123575090449247"/>
                      <c:h val="0.2307014621129562"/>
                    </c:manualLayout>
                  </c15:layout>
                </c:ext>
              </c:extLst>
            </c:dLbl>
            <c:dLbl>
              <c:idx val="1"/>
              <c:layout/>
              <c:dLblPos val="inBase"/>
              <c:showLegendKey val="0"/>
              <c:showVal val="1"/>
              <c:showCatName val="0"/>
              <c:showSerName val="0"/>
              <c:showPercent val="0"/>
              <c:showBubbleSize val="0"/>
              <c:extLst>
                <c:ext xmlns:c15="http://schemas.microsoft.com/office/drawing/2012/chart" uri="{CE6537A1-D6FC-4f65-9D91-7224C49458BB}">
                  <c15:layout>
                    <c:manualLayout>
                      <c:w val="0.33958364763726212"/>
                      <c:h val="0.2307014621129562"/>
                    </c:manualLayout>
                  </c15:layout>
                </c:ext>
              </c:extLst>
            </c:dLbl>
            <c:dLbl>
              <c:idx val="2"/>
              <c:layout/>
              <c:dLblPos val="inBase"/>
              <c:showLegendKey val="0"/>
              <c:showVal val="1"/>
              <c:showCatName val="0"/>
              <c:showSerName val="0"/>
              <c:showPercent val="0"/>
              <c:showBubbleSize val="0"/>
              <c:extLst>
                <c:ext xmlns:c15="http://schemas.microsoft.com/office/drawing/2012/chart" uri="{CE6537A1-D6FC-4f65-9D91-7224C49458BB}">
                  <c15:layout>
                    <c:manualLayout>
                      <c:w val="0.3514842485707565"/>
                      <c:h val="0.2307014621129562"/>
                    </c:manualLayout>
                  </c15:layout>
                </c:ext>
              </c:extLst>
            </c:dLbl>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charts'!$A$74:$A$76</c:f>
              <c:strCache>
                <c:ptCount val="3"/>
                <c:pt idx="0">
                  <c:v>Tier 1</c:v>
                </c:pt>
                <c:pt idx="1">
                  <c:v>Tier 2</c:v>
                </c:pt>
                <c:pt idx="2">
                  <c:v>Tier 3</c:v>
                </c:pt>
              </c:strCache>
            </c:strRef>
          </c:cat>
          <c:val>
            <c:numRef>
              <c:f>'KPI &amp; charts'!$B$74:$B$76</c:f>
              <c:numCache>
                <c:formatCode>"$"0.00,"K"</c:formatCode>
                <c:ptCount val="3"/>
                <c:pt idx="0">
                  <c:v>336397.81199999945</c:v>
                </c:pt>
                <c:pt idx="1">
                  <c:v>393150.64759999956</c:v>
                </c:pt>
                <c:pt idx="2">
                  <c:v>472133.03319999954</c:v>
                </c:pt>
              </c:numCache>
            </c:numRef>
          </c:val>
        </c:ser>
        <c:dLbls>
          <c:showLegendKey val="0"/>
          <c:showVal val="0"/>
          <c:showCatName val="0"/>
          <c:showSerName val="0"/>
          <c:showPercent val="0"/>
          <c:showBubbleSize val="0"/>
        </c:dLbls>
        <c:gapWidth val="30"/>
        <c:axId val="311234176"/>
        <c:axId val="311234568"/>
      </c:barChart>
      <c:catAx>
        <c:axId val="31123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34568"/>
        <c:crosses val="autoZero"/>
        <c:auto val="1"/>
        <c:lblAlgn val="ctr"/>
        <c:lblOffset val="100"/>
        <c:noMultiLvlLbl val="0"/>
      </c:catAx>
      <c:valAx>
        <c:axId val="311234568"/>
        <c:scaling>
          <c:orientation val="minMax"/>
        </c:scaling>
        <c:delete val="1"/>
        <c:axPos val="b"/>
        <c:numFmt formatCode="&quot;$&quot;0.00,&quot;K&quot;" sourceLinked="1"/>
        <c:majorTickMark val="none"/>
        <c:minorTickMark val="none"/>
        <c:tickLblPos val="nextTo"/>
        <c:crossAx val="311234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charts!PivotTable8</c:name>
    <c:fmtId val="5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pivotFmt>
    </c:pivotFmts>
    <c:plotArea>
      <c:layout>
        <c:manualLayout>
          <c:layoutTarget val="inner"/>
          <c:xMode val="edge"/>
          <c:yMode val="edge"/>
          <c:x val="0.48582232799683128"/>
          <c:y val="3.2777936343800253E-2"/>
          <c:w val="0.41909156462538982"/>
          <c:h val="0.80359361376636396"/>
        </c:manualLayout>
      </c:layout>
      <c:barChart>
        <c:barDir val="bar"/>
        <c:grouping val="clustered"/>
        <c:varyColors val="0"/>
        <c:ser>
          <c:idx val="0"/>
          <c:order val="0"/>
          <c:tx>
            <c:strRef>
              <c:f>'KPI &amp; charts'!$B$87</c:f>
              <c:strCache>
                <c:ptCount val="1"/>
                <c:pt idx="0">
                  <c:v>Total</c:v>
                </c:pt>
              </c:strCache>
            </c:strRef>
          </c:tx>
          <c:spPr>
            <a:solidFill>
              <a:schemeClr val="accent2">
                <a:lumMod val="75000"/>
              </a:schemeClr>
            </a:solidFill>
            <a:ln>
              <a:noFill/>
            </a:ln>
            <a:effectLst/>
          </c:spPr>
          <c:invertIfNegative val="0"/>
          <c:cat>
            <c:strRef>
              <c:f>'KPI &amp; charts'!$A$88:$A$91</c:f>
              <c:strCache>
                <c:ptCount val="4"/>
                <c:pt idx="0">
                  <c:v>Supermarket Type3</c:v>
                </c:pt>
                <c:pt idx="1">
                  <c:v>Supermarket Type2</c:v>
                </c:pt>
                <c:pt idx="2">
                  <c:v>Grocery Store</c:v>
                </c:pt>
                <c:pt idx="3">
                  <c:v>Supermarket Type1</c:v>
                </c:pt>
              </c:strCache>
            </c:strRef>
          </c:cat>
          <c:val>
            <c:numRef>
              <c:f>'KPI &amp; charts'!$B$88:$B$91</c:f>
              <c:numCache>
                <c:formatCode>"$"0.00,"K"</c:formatCode>
                <c:ptCount val="4"/>
                <c:pt idx="0">
                  <c:v>130714.67460000006</c:v>
                </c:pt>
                <c:pt idx="1">
                  <c:v>131477.77639999994</c:v>
                </c:pt>
                <c:pt idx="2">
                  <c:v>151939.149</c:v>
                </c:pt>
                <c:pt idx="3">
                  <c:v>787549.89280000131</c:v>
                </c:pt>
              </c:numCache>
            </c:numRef>
          </c:val>
        </c:ser>
        <c:dLbls>
          <c:showLegendKey val="0"/>
          <c:showVal val="0"/>
          <c:showCatName val="0"/>
          <c:showSerName val="0"/>
          <c:showPercent val="0"/>
          <c:showBubbleSize val="0"/>
        </c:dLbls>
        <c:gapWidth val="57"/>
        <c:axId val="460727048"/>
        <c:axId val="460728616"/>
      </c:barChart>
      <c:catAx>
        <c:axId val="460727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460728616"/>
        <c:crosses val="autoZero"/>
        <c:auto val="1"/>
        <c:lblAlgn val="ctr"/>
        <c:lblOffset val="100"/>
        <c:noMultiLvlLbl val="0"/>
      </c:catAx>
      <c:valAx>
        <c:axId val="46072861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solidFill>
                      <a:schemeClr val="accent1">
                        <a:lumMod val="75000"/>
                      </a:schemeClr>
                    </a:solidFill>
                  </a:rPr>
                  <a:t>TOTAL</a:t>
                </a:r>
                <a:r>
                  <a:rPr lang="en-IN" sz="800" b="1" baseline="0">
                    <a:solidFill>
                      <a:schemeClr val="accent1">
                        <a:lumMod val="75000"/>
                      </a:schemeClr>
                    </a:solidFill>
                  </a:rPr>
                  <a:t> SALES</a:t>
                </a:r>
                <a:endParaRPr lang="en-IN" sz="800" b="1">
                  <a:solidFill>
                    <a:schemeClr val="accent1">
                      <a:lumMod val="75000"/>
                    </a:schemeClr>
                  </a:solidFill>
                </a:endParaRPr>
              </a:p>
            </c:rich>
          </c:tx>
          <c:layout>
            <c:manualLayout>
              <c:xMode val="edge"/>
              <c:yMode val="edge"/>
              <c:x val="0.57181121714902816"/>
              <c:y val="0.865756073724653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K&quot;" sourceLinked="1"/>
        <c:majorTickMark val="none"/>
        <c:minorTickMark val="none"/>
        <c:tickLblPos val="nextTo"/>
        <c:crossAx val="460727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charts!PivotTable9</c:name>
    <c:fmtId val="5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EB500"/>
          </a:solidFill>
          <a:ln>
            <a:solidFill>
              <a:schemeClr val="bg1">
                <a:lumMod val="85000"/>
              </a:schemeClr>
            </a:solidFill>
          </a:ln>
          <a:effectLst/>
        </c:spPr>
        <c:marker>
          <c:symbol val="none"/>
        </c:marker>
      </c:pivotFmt>
    </c:pivotFmts>
    <c:plotArea>
      <c:layout>
        <c:manualLayout>
          <c:layoutTarget val="inner"/>
          <c:xMode val="edge"/>
          <c:yMode val="edge"/>
          <c:x val="0.47535792752467726"/>
          <c:y val="9.1375512147645041E-2"/>
          <c:w val="0.45198485766202301"/>
          <c:h val="0.8139813824128862"/>
        </c:manualLayout>
      </c:layout>
      <c:barChart>
        <c:barDir val="bar"/>
        <c:grouping val="clustered"/>
        <c:varyColors val="0"/>
        <c:ser>
          <c:idx val="0"/>
          <c:order val="0"/>
          <c:tx>
            <c:strRef>
              <c:f>'KPI &amp; charts'!$B$95</c:f>
              <c:strCache>
                <c:ptCount val="1"/>
                <c:pt idx="0">
                  <c:v>Total</c:v>
                </c:pt>
              </c:strCache>
            </c:strRef>
          </c:tx>
          <c:spPr>
            <a:solidFill>
              <a:srgbClr val="EEB500"/>
            </a:solidFill>
            <a:ln>
              <a:solidFill>
                <a:schemeClr val="bg1">
                  <a:lumMod val="85000"/>
                </a:schemeClr>
              </a:solidFill>
            </a:ln>
            <a:effectLst/>
          </c:spPr>
          <c:invertIfNegative val="0"/>
          <c:cat>
            <c:strRef>
              <c:f>'KPI &amp; charts'!$A$96:$A$99</c:f>
              <c:strCache>
                <c:ptCount val="4"/>
                <c:pt idx="0">
                  <c:v>Grocery Store</c:v>
                </c:pt>
                <c:pt idx="1">
                  <c:v>Supermarket Type1</c:v>
                </c:pt>
                <c:pt idx="2">
                  <c:v>Supermarket Type2</c:v>
                </c:pt>
                <c:pt idx="3">
                  <c:v>Supermarket Type3</c:v>
                </c:pt>
              </c:strCache>
            </c:strRef>
          </c:cat>
          <c:val>
            <c:numRef>
              <c:f>'KPI &amp; charts'!$B$96:$B$99</c:f>
              <c:numCache>
                <c:formatCode>"$"0.00,"K"</c:formatCode>
                <c:ptCount val="4"/>
                <c:pt idx="0">
                  <c:v>140.29468975069253</c:v>
                </c:pt>
                <c:pt idx="1">
                  <c:v>141.21389506903375</c:v>
                </c:pt>
                <c:pt idx="2">
                  <c:v>141.67863836206891</c:v>
                </c:pt>
                <c:pt idx="3">
                  <c:v>139.80179101604284</c:v>
                </c:pt>
              </c:numCache>
            </c:numRef>
          </c:val>
        </c:ser>
        <c:dLbls>
          <c:showLegendKey val="0"/>
          <c:showVal val="0"/>
          <c:showCatName val="0"/>
          <c:showSerName val="0"/>
          <c:showPercent val="0"/>
          <c:showBubbleSize val="0"/>
        </c:dLbls>
        <c:gapWidth val="81"/>
        <c:axId val="352784840"/>
        <c:axId val="352784448"/>
      </c:barChart>
      <c:catAx>
        <c:axId val="352784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52784448"/>
        <c:crosses val="autoZero"/>
        <c:auto val="1"/>
        <c:lblAlgn val="ctr"/>
        <c:lblOffset val="100"/>
        <c:noMultiLvlLbl val="0"/>
      </c:catAx>
      <c:valAx>
        <c:axId val="3527844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accent1">
                        <a:lumMod val="75000"/>
                      </a:schemeClr>
                    </a:solidFill>
                  </a:rPr>
                  <a:t>AVG</a:t>
                </a:r>
                <a:r>
                  <a:rPr lang="en-IN" sz="900" b="1" baseline="0">
                    <a:solidFill>
                      <a:schemeClr val="accent1">
                        <a:lumMod val="75000"/>
                      </a:schemeClr>
                    </a:solidFill>
                  </a:rPr>
                  <a:t> SALES</a:t>
                </a:r>
                <a:endParaRPr lang="en-IN" b="1">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K&quot;" sourceLinked="1"/>
        <c:majorTickMark val="none"/>
        <c:minorTickMark val="none"/>
        <c:tickLblPos val="nextTo"/>
        <c:crossAx val="352784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dashboard.xlsx]KPI &amp; charts!PivotTable10</c:name>
    <c:fmtId val="5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manualLayout>
          <c:layoutTarget val="inner"/>
          <c:xMode val="edge"/>
          <c:yMode val="edge"/>
          <c:x val="0.4642569682978519"/>
          <c:y val="0.10646178044944095"/>
          <c:w val="0.51209906882503164"/>
          <c:h val="0.79675478277834"/>
        </c:manualLayout>
      </c:layout>
      <c:barChart>
        <c:barDir val="bar"/>
        <c:grouping val="clustered"/>
        <c:varyColors val="0"/>
        <c:ser>
          <c:idx val="0"/>
          <c:order val="0"/>
          <c:tx>
            <c:strRef>
              <c:f>'KPI &amp; charts'!$B$108</c:f>
              <c:strCache>
                <c:ptCount val="1"/>
                <c:pt idx="0">
                  <c:v>Total</c:v>
                </c:pt>
              </c:strCache>
            </c:strRef>
          </c:tx>
          <c:spPr>
            <a:solidFill>
              <a:schemeClr val="accent6">
                <a:lumMod val="75000"/>
              </a:schemeClr>
            </a:solidFill>
            <a:ln>
              <a:noFill/>
            </a:ln>
            <a:effectLst/>
          </c:spPr>
          <c:invertIfNegative val="0"/>
          <c:cat>
            <c:strRef>
              <c:f>'KPI &amp; charts'!$A$109:$A$112</c:f>
              <c:strCache>
                <c:ptCount val="4"/>
                <c:pt idx="0">
                  <c:v>Supermarket Type2</c:v>
                </c:pt>
                <c:pt idx="1">
                  <c:v>Supermarket Type3</c:v>
                </c:pt>
                <c:pt idx="2">
                  <c:v>Grocery Store</c:v>
                </c:pt>
                <c:pt idx="3">
                  <c:v>Supermarket Type1</c:v>
                </c:pt>
              </c:strCache>
            </c:strRef>
          </c:cat>
          <c:val>
            <c:numRef>
              <c:f>'KPI &amp; charts'!$B$109:$B$112</c:f>
              <c:numCache>
                <c:formatCode>"$"0.00,"K"</c:formatCode>
                <c:ptCount val="4"/>
                <c:pt idx="0">
                  <c:v>928</c:v>
                </c:pt>
                <c:pt idx="1">
                  <c:v>935</c:v>
                </c:pt>
                <c:pt idx="2">
                  <c:v>1083</c:v>
                </c:pt>
                <c:pt idx="3">
                  <c:v>5577</c:v>
                </c:pt>
              </c:numCache>
            </c:numRef>
          </c:val>
        </c:ser>
        <c:dLbls>
          <c:showLegendKey val="0"/>
          <c:showVal val="0"/>
          <c:showCatName val="0"/>
          <c:showSerName val="0"/>
          <c:showPercent val="0"/>
          <c:showBubbleSize val="0"/>
        </c:dLbls>
        <c:gapWidth val="64"/>
        <c:axId val="309792096"/>
        <c:axId val="309793272"/>
      </c:barChart>
      <c:catAx>
        <c:axId val="3097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09793272"/>
        <c:crosses val="autoZero"/>
        <c:auto val="1"/>
        <c:lblAlgn val="ctr"/>
        <c:lblOffset val="100"/>
        <c:noMultiLvlLbl val="0"/>
      </c:catAx>
      <c:valAx>
        <c:axId val="30979327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accent1">
                        <a:lumMod val="75000"/>
                      </a:schemeClr>
                    </a:solidFill>
                  </a:rPr>
                  <a:t>NO</a:t>
                </a:r>
                <a:r>
                  <a:rPr lang="en-IN" sz="900" b="1" baseline="0">
                    <a:solidFill>
                      <a:schemeClr val="accent1">
                        <a:lumMod val="75000"/>
                      </a:schemeClr>
                    </a:solidFill>
                  </a:rPr>
                  <a:t> OF ITEMS</a:t>
                </a:r>
                <a:endParaRPr lang="en-IN" b="1">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K&quot;" sourceLinked="1"/>
        <c:majorTickMark val="none"/>
        <c:minorTickMark val="none"/>
        <c:tickLblPos val="nextTo"/>
        <c:crossAx val="309792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4</xdr:col>
      <xdr:colOff>120650</xdr:colOff>
      <xdr:row>1</xdr:row>
      <xdr:rowOff>50801</xdr:rowOff>
    </xdr:from>
    <xdr:to>
      <xdr:col>6</xdr:col>
      <xdr:colOff>635001</xdr:colOff>
      <xdr:row>7</xdr:row>
      <xdr:rowOff>68037</xdr:rowOff>
    </xdr:to>
    <mc:AlternateContent xmlns:mc="http://schemas.openxmlformats.org/markup-compatibility/2006" xmlns:a14="http://schemas.microsoft.com/office/drawing/2010/main">
      <mc:Choice Requires="a14">
        <xdr:graphicFrame macro="">
          <xdr:nvGraphicFramePr>
            <xdr:cNvPr id="3"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72000" y="254001"/>
              <a:ext cx="183515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69850</xdr:colOff>
      <xdr:row>9</xdr:row>
      <xdr:rowOff>38100</xdr:rowOff>
    </xdr:from>
    <xdr:to>
      <xdr:col>3</xdr:col>
      <xdr:colOff>1136650</xdr:colOff>
      <xdr:row>14</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17</xdr:row>
      <xdr:rowOff>50800</xdr:rowOff>
    </xdr:from>
    <xdr:to>
      <xdr:col>6</xdr:col>
      <xdr:colOff>457200</xdr:colOff>
      <xdr:row>23</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107950</xdr:colOff>
      <xdr:row>26</xdr:row>
      <xdr:rowOff>12700</xdr:rowOff>
    </xdr:from>
    <xdr:to>
      <xdr:col>7</xdr:col>
      <xdr:colOff>38100</xdr:colOff>
      <xdr:row>42</xdr:row>
      <xdr:rowOff>165100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174625</xdr:colOff>
      <xdr:row>45</xdr:row>
      <xdr:rowOff>6350</xdr:rowOff>
    </xdr:from>
    <xdr:to>
      <xdr:col>7</xdr:col>
      <xdr:colOff>654050</xdr:colOff>
      <xdr:row>54</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113393</xdr:colOff>
      <xdr:row>58</xdr:row>
      <xdr:rowOff>7257</xdr:rowOff>
    </xdr:from>
    <xdr:to>
      <xdr:col>5</xdr:col>
      <xdr:colOff>517071</xdr:colOff>
      <xdr:row>68</xdr:row>
      <xdr:rowOff>63500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154215</xdr:colOff>
      <xdr:row>72</xdr:row>
      <xdr:rowOff>9070</xdr:rowOff>
    </xdr:from>
    <xdr:to>
      <xdr:col>6</xdr:col>
      <xdr:colOff>553357</xdr:colOff>
      <xdr:row>80</xdr:row>
      <xdr:rowOff>56242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285750</xdr:colOff>
      <xdr:row>86</xdr:row>
      <xdr:rowOff>54429</xdr:rowOff>
    </xdr:from>
    <xdr:to>
      <xdr:col>5</xdr:col>
      <xdr:colOff>517071</xdr:colOff>
      <xdr:row>92</xdr:row>
      <xdr:rowOff>81645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299358</xdr:colOff>
      <xdr:row>93</xdr:row>
      <xdr:rowOff>61686</xdr:rowOff>
    </xdr:from>
    <xdr:to>
      <xdr:col>5</xdr:col>
      <xdr:colOff>598715</xdr:colOff>
      <xdr:row>102</xdr:row>
      <xdr:rowOff>108857</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254001</xdr:colOff>
      <xdr:row>106</xdr:row>
      <xdr:rowOff>197757</xdr:rowOff>
    </xdr:from>
    <xdr:to>
      <xdr:col>5</xdr:col>
      <xdr:colOff>217715</xdr:colOff>
      <xdr:row>114</xdr:row>
      <xdr:rowOff>181428</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551544</xdr:colOff>
      <xdr:row>83</xdr:row>
      <xdr:rowOff>127907</xdr:rowOff>
    </xdr:from>
    <xdr:to>
      <xdr:col>10</xdr:col>
      <xdr:colOff>393701</xdr:colOff>
      <xdr:row>90</xdr:row>
      <xdr:rowOff>0</xdr:rowOff>
    </xdr:to>
    <mc:AlternateContent xmlns:mc="http://schemas.openxmlformats.org/markup-compatibility/2006">
      <mc:Choice xmlns:a14="http://schemas.microsoft.com/office/drawing/2010/main" Requires="a14">
        <xdr:graphicFrame macro="">
          <xdr:nvGraphicFramePr>
            <xdr:cNvPr id="15"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545615" y="17327336"/>
              <a:ext cx="1828800" cy="1359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188686</xdr:colOff>
      <xdr:row>92</xdr:row>
      <xdr:rowOff>109764</xdr:rowOff>
    </xdr:from>
    <xdr:to>
      <xdr:col>9</xdr:col>
      <xdr:colOff>435428</xdr:colOff>
      <xdr:row>102</xdr:row>
      <xdr:rowOff>45357</xdr:rowOff>
    </xdr:to>
    <mc:AlternateContent xmlns:mc="http://schemas.openxmlformats.org/markup-compatibility/2006">
      <mc:Choice xmlns:a14="http://schemas.microsoft.com/office/drawing/2010/main" Requires="a14">
        <xdr:graphicFrame macro="">
          <xdr:nvGraphicFramePr>
            <xdr:cNvPr id="16"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182757" y="19196050"/>
              <a:ext cx="1571171" cy="1931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0</xdr:row>
      <xdr:rowOff>120650</xdr:rowOff>
    </xdr:from>
    <xdr:to>
      <xdr:col>17</xdr:col>
      <xdr:colOff>254000</xdr:colOff>
      <xdr:row>27</xdr:row>
      <xdr:rowOff>165100</xdr:rowOff>
    </xdr:to>
    <xdr:sp macro="" textlink="">
      <xdr:nvSpPr>
        <xdr:cNvPr id="2" name="Rectangle 1"/>
        <xdr:cNvSpPr/>
      </xdr:nvSpPr>
      <xdr:spPr>
        <a:xfrm>
          <a:off x="266700" y="120650"/>
          <a:ext cx="11163300" cy="5288803"/>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384175</xdr:colOff>
      <xdr:row>1</xdr:row>
      <xdr:rowOff>76203</xdr:rowOff>
    </xdr:from>
    <xdr:to>
      <xdr:col>3</xdr:col>
      <xdr:colOff>276412</xdr:colOff>
      <xdr:row>27</xdr:row>
      <xdr:rowOff>57153</xdr:rowOff>
    </xdr:to>
    <xdr:sp macro="" textlink="">
      <xdr:nvSpPr>
        <xdr:cNvPr id="4" name="Round Same Side Corner Rectangle 3"/>
        <xdr:cNvSpPr/>
      </xdr:nvSpPr>
      <xdr:spPr>
        <a:xfrm rot="5400000">
          <a:off x="-1199123" y="1853736"/>
          <a:ext cx="5031068" cy="1864472"/>
        </a:xfrm>
        <a:prstGeom prst="round2SameRect">
          <a:avLst/>
        </a:prstGeom>
        <a:solidFill>
          <a:srgbClr val="EEB5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551702</xdr:colOff>
      <xdr:row>1</xdr:row>
      <xdr:rowOff>88899</xdr:rowOff>
    </xdr:from>
    <xdr:to>
      <xdr:col>3</xdr:col>
      <xdr:colOff>97116</xdr:colOff>
      <xdr:row>3</xdr:row>
      <xdr:rowOff>158749</xdr:rowOff>
    </xdr:to>
    <xdr:sp macro="" textlink="">
      <xdr:nvSpPr>
        <xdr:cNvPr id="5" name="Rectangle 4"/>
        <xdr:cNvSpPr/>
      </xdr:nvSpPr>
      <xdr:spPr>
        <a:xfrm>
          <a:off x="551702" y="283134"/>
          <a:ext cx="1517649" cy="4583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ysClr val="windowText" lastClr="000000"/>
              </a:solidFill>
              <a:latin typeface="Arial Black" panose="020B0A04020102020204" pitchFamily="34" charset="0"/>
            </a:rPr>
            <a:t>blink</a:t>
          </a:r>
          <a:r>
            <a:rPr lang="en-IN" sz="2800">
              <a:solidFill>
                <a:srgbClr val="00B050"/>
              </a:solidFill>
              <a:latin typeface="Arial Black" panose="020B0A04020102020204" pitchFamily="34" charset="0"/>
            </a:rPr>
            <a:t>it</a:t>
          </a:r>
        </a:p>
      </xdr:txBody>
    </xdr:sp>
    <xdr:clientData/>
  </xdr:twoCellAnchor>
  <xdr:twoCellAnchor>
    <xdr:from>
      <xdr:col>0</xdr:col>
      <xdr:colOff>253999</xdr:colOff>
      <xdr:row>3</xdr:row>
      <xdr:rowOff>44450</xdr:rowOff>
    </xdr:from>
    <xdr:to>
      <xdr:col>3</xdr:col>
      <xdr:colOff>425823</xdr:colOff>
      <xdr:row>4</xdr:row>
      <xdr:rowOff>141941</xdr:rowOff>
    </xdr:to>
    <xdr:sp macro="" textlink="">
      <xdr:nvSpPr>
        <xdr:cNvPr id="6" name="Rectangle 5"/>
        <xdr:cNvSpPr/>
      </xdr:nvSpPr>
      <xdr:spPr>
        <a:xfrm>
          <a:off x="253999" y="627156"/>
          <a:ext cx="2144059" cy="2917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latin typeface="+mn-lt"/>
            </a:rPr>
            <a:t>India's</a:t>
          </a:r>
          <a:r>
            <a:rPr lang="en-IN" sz="1200" b="1" baseline="0">
              <a:solidFill>
                <a:sysClr val="windowText" lastClr="000000"/>
              </a:solidFill>
              <a:latin typeface="+mn-lt"/>
            </a:rPr>
            <a:t> Last Minute App</a:t>
          </a:r>
          <a:endParaRPr lang="en-IN" sz="1200" b="1">
            <a:solidFill>
              <a:sysClr val="windowText" lastClr="000000"/>
            </a:solidFill>
            <a:latin typeface="+mn-lt"/>
          </a:endParaRPr>
        </a:p>
      </xdr:txBody>
    </xdr:sp>
    <xdr:clientData/>
  </xdr:twoCellAnchor>
  <xdr:twoCellAnchor>
    <xdr:from>
      <xdr:col>3</xdr:col>
      <xdr:colOff>463177</xdr:colOff>
      <xdr:row>1</xdr:row>
      <xdr:rowOff>80227</xdr:rowOff>
    </xdr:from>
    <xdr:to>
      <xdr:col>6</xdr:col>
      <xdr:colOff>508000</xdr:colOff>
      <xdr:row>5</xdr:row>
      <xdr:rowOff>67236</xdr:rowOff>
    </xdr:to>
    <xdr:sp macro="" textlink="">
      <xdr:nvSpPr>
        <xdr:cNvPr id="8" name="Rounded Rectangle 7"/>
        <xdr:cNvSpPr/>
      </xdr:nvSpPr>
      <xdr:spPr>
        <a:xfrm>
          <a:off x="2435412" y="274462"/>
          <a:ext cx="2017059" cy="763950"/>
        </a:xfrm>
        <a:prstGeom prst="roundRect">
          <a:avLst/>
        </a:prstGeom>
        <a:gradFill flip="none" rotWithShape="1">
          <a:gsLst>
            <a:gs pos="0">
              <a:schemeClr val="accent6">
                <a:lumMod val="75000"/>
                <a:alpha val="50000"/>
              </a:schemeClr>
            </a:gs>
            <a:gs pos="81000">
              <a:schemeClr val="accent4">
                <a:lumMod val="60000"/>
                <a:lumOff val="40000"/>
                <a:alpha val="50000"/>
              </a:schemeClr>
            </a:gs>
            <a:gs pos="100000">
              <a:schemeClr val="accent1">
                <a:tint val="23500"/>
                <a:satMod val="160000"/>
              </a:schemeClr>
            </a:gs>
          </a:gsLst>
          <a:path path="circle">
            <a:fillToRect l="100000" b="100000"/>
          </a:path>
          <a:tileRect t="-100000" r="-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592058</xdr:colOff>
      <xdr:row>1</xdr:row>
      <xdr:rowOff>59016</xdr:rowOff>
    </xdr:from>
    <xdr:to>
      <xdr:col>10</xdr:col>
      <xdr:colOff>97117</xdr:colOff>
      <xdr:row>5</xdr:row>
      <xdr:rowOff>82176</xdr:rowOff>
    </xdr:to>
    <xdr:sp macro="" textlink="">
      <xdr:nvSpPr>
        <xdr:cNvPr id="9" name="Rounded Rectangle 8"/>
        <xdr:cNvSpPr/>
      </xdr:nvSpPr>
      <xdr:spPr>
        <a:xfrm>
          <a:off x="4536529" y="253251"/>
          <a:ext cx="2134706" cy="800101"/>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605117</xdr:colOff>
      <xdr:row>5</xdr:row>
      <xdr:rowOff>149413</xdr:rowOff>
    </xdr:from>
    <xdr:to>
      <xdr:col>10</xdr:col>
      <xdr:colOff>127000</xdr:colOff>
      <xdr:row>9</xdr:row>
      <xdr:rowOff>134471</xdr:rowOff>
    </xdr:to>
    <xdr:sp macro="" textlink="">
      <xdr:nvSpPr>
        <xdr:cNvPr id="10" name="Rounded Rectangle 9"/>
        <xdr:cNvSpPr/>
      </xdr:nvSpPr>
      <xdr:spPr>
        <a:xfrm>
          <a:off x="4549588" y="1120589"/>
          <a:ext cx="2151530" cy="762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477743</xdr:colOff>
      <xdr:row>5</xdr:row>
      <xdr:rowOff>149412</xdr:rowOff>
    </xdr:from>
    <xdr:to>
      <xdr:col>6</xdr:col>
      <xdr:colOff>485586</xdr:colOff>
      <xdr:row>9</xdr:row>
      <xdr:rowOff>143143</xdr:rowOff>
    </xdr:to>
    <xdr:sp macro="" textlink="">
      <xdr:nvSpPr>
        <xdr:cNvPr id="11" name="Rounded Rectangle 10"/>
        <xdr:cNvSpPr/>
      </xdr:nvSpPr>
      <xdr:spPr>
        <a:xfrm>
          <a:off x="2449978" y="1120588"/>
          <a:ext cx="1980079" cy="77067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494926</xdr:colOff>
      <xdr:row>6</xdr:row>
      <xdr:rowOff>23159</xdr:rowOff>
    </xdr:from>
    <xdr:to>
      <xdr:col>6</xdr:col>
      <xdr:colOff>177426</xdr:colOff>
      <xdr:row>8</xdr:row>
      <xdr:rowOff>67609</xdr:rowOff>
    </xdr:to>
    <xdr:sp macro="" textlink="'KPI &amp; charts'!C8">
      <xdr:nvSpPr>
        <xdr:cNvPr id="14" name="TextBox 13"/>
        <xdr:cNvSpPr txBox="1"/>
      </xdr:nvSpPr>
      <xdr:spPr>
        <a:xfrm>
          <a:off x="3124573" y="1188571"/>
          <a:ext cx="997324" cy="43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D747A6-DA8E-4B9F-8882-DC89D330CFE4}" type="TxLink">
            <a:rPr lang="en-US" sz="1400" b="0" i="0" u="none" strike="noStrike">
              <a:solidFill>
                <a:srgbClr val="000000"/>
              </a:solidFill>
              <a:latin typeface="Arial Black" panose="020B0A04020102020204" pitchFamily="34" charset="0"/>
              <a:cs typeface="Calibri"/>
            </a:rPr>
            <a:pPr/>
            <a:t>8523</a:t>
          </a:fld>
          <a:endParaRPr lang="en-IN" sz="1800">
            <a:latin typeface="Arial Black" panose="020B0A04020102020204" pitchFamily="34" charset="0"/>
          </a:endParaRPr>
        </a:p>
      </xdr:txBody>
    </xdr:sp>
    <xdr:clientData/>
  </xdr:twoCellAnchor>
  <xdr:twoCellAnchor>
    <xdr:from>
      <xdr:col>4</xdr:col>
      <xdr:colOff>310776</xdr:colOff>
      <xdr:row>7</xdr:row>
      <xdr:rowOff>80309</xdr:rowOff>
    </xdr:from>
    <xdr:to>
      <xdr:col>6</xdr:col>
      <xdr:colOff>190126</xdr:colOff>
      <xdr:row>8</xdr:row>
      <xdr:rowOff>175559</xdr:rowOff>
    </xdr:to>
    <xdr:sp macro="" textlink="">
      <xdr:nvSpPr>
        <xdr:cNvPr id="17" name="TextBox 16"/>
        <xdr:cNvSpPr txBox="1"/>
      </xdr:nvSpPr>
      <xdr:spPr>
        <a:xfrm>
          <a:off x="2940423" y="1439956"/>
          <a:ext cx="1194174" cy="28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rial Rounded MT Bold" panose="020F0704030504030204" pitchFamily="34" charset="0"/>
            </a:rPr>
            <a:t>NO</a:t>
          </a:r>
          <a:r>
            <a:rPr lang="en-IN" sz="1000" baseline="0">
              <a:latin typeface="Arial Rounded MT Bold" panose="020F0704030504030204" pitchFamily="34" charset="0"/>
            </a:rPr>
            <a:t> OF SALES</a:t>
          </a:r>
          <a:endParaRPr lang="en-IN" sz="1000">
            <a:latin typeface="Arial Rounded MT Bold" panose="020F0704030504030204" pitchFamily="34" charset="0"/>
          </a:endParaRPr>
        </a:p>
      </xdr:txBody>
    </xdr:sp>
    <xdr:clientData/>
  </xdr:twoCellAnchor>
  <xdr:twoCellAnchor>
    <xdr:from>
      <xdr:col>4</xdr:col>
      <xdr:colOff>310776</xdr:colOff>
      <xdr:row>1</xdr:row>
      <xdr:rowOff>121397</xdr:rowOff>
    </xdr:from>
    <xdr:to>
      <xdr:col>9</xdr:col>
      <xdr:colOff>455332</xdr:colOff>
      <xdr:row>8</xdr:row>
      <xdr:rowOff>180042</xdr:rowOff>
    </xdr:to>
    <xdr:grpSp>
      <xdr:nvGrpSpPr>
        <xdr:cNvPr id="34" name="Group 33"/>
        <xdr:cNvGrpSpPr/>
      </xdr:nvGrpSpPr>
      <xdr:grpSpPr>
        <a:xfrm>
          <a:off x="2940423" y="315632"/>
          <a:ext cx="3431615" cy="1418292"/>
          <a:chOff x="2200835" y="330573"/>
          <a:chExt cx="3431615" cy="1418292"/>
        </a:xfrm>
      </xdr:grpSpPr>
      <xdr:sp macro="" textlink="'KPI &amp; charts'!A8">
        <xdr:nvSpPr>
          <xdr:cNvPr id="12" name="TextBox 11"/>
          <xdr:cNvSpPr txBox="1"/>
        </xdr:nvSpPr>
        <xdr:spPr>
          <a:xfrm>
            <a:off x="2321485" y="359335"/>
            <a:ext cx="997324" cy="430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D02702-4BC3-44C7-86D3-D9F839B6078F}" type="TxLink">
              <a:rPr lang="en-US" sz="1400" b="0" i="0" u="none" strike="noStrike">
                <a:solidFill>
                  <a:srgbClr val="000000"/>
                </a:solidFill>
                <a:latin typeface="Arial Black" panose="020B0A04020102020204" pitchFamily="34" charset="0"/>
                <a:cs typeface="Calibri"/>
              </a:rPr>
              <a:pPr/>
              <a:t>$1.2M</a:t>
            </a:fld>
            <a:endParaRPr lang="en-IN" sz="1200">
              <a:latin typeface="Arial Black" panose="020B0A04020102020204" pitchFamily="34" charset="0"/>
            </a:endParaRPr>
          </a:p>
        </xdr:txBody>
      </xdr:sp>
      <xdr:grpSp>
        <xdr:nvGrpSpPr>
          <xdr:cNvPr id="32" name="Group 31"/>
          <xdr:cNvGrpSpPr/>
        </xdr:nvGrpSpPr>
        <xdr:grpSpPr>
          <a:xfrm>
            <a:off x="4438277" y="330573"/>
            <a:ext cx="1194173" cy="1418292"/>
            <a:chOff x="4438277" y="330573"/>
            <a:chExt cx="1194173" cy="1418292"/>
          </a:xfrm>
        </xdr:grpSpPr>
        <xdr:sp macro="" textlink="'KPI &amp; charts'!D8">
          <xdr:nvSpPr>
            <xdr:cNvPr id="13" name="TextBox 12"/>
            <xdr:cNvSpPr txBox="1"/>
          </xdr:nvSpPr>
          <xdr:spPr>
            <a:xfrm>
              <a:off x="4698999" y="1204633"/>
              <a:ext cx="644711" cy="43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BA800F-0D08-4E30-A420-E3C06240B890}" type="TxLink">
                <a:rPr lang="en-US" sz="1400" b="0" i="0" u="none" strike="noStrike">
                  <a:solidFill>
                    <a:srgbClr val="000000"/>
                  </a:solidFill>
                  <a:latin typeface="Arial Black" panose="020B0A04020102020204" pitchFamily="34" charset="0"/>
                  <a:cs typeface="Calibri"/>
                </a:rPr>
                <a:pPr/>
                <a:t>4.0</a:t>
              </a:fld>
              <a:endParaRPr lang="en-IN" sz="1800">
                <a:latin typeface="Arial Black" panose="020B0A04020102020204" pitchFamily="34" charset="0"/>
              </a:endParaRPr>
            </a:p>
          </xdr:txBody>
        </xdr:sp>
        <xdr:sp macro="" textlink="">
          <xdr:nvSpPr>
            <xdr:cNvPr id="16" name="TextBox 15"/>
            <xdr:cNvSpPr txBox="1"/>
          </xdr:nvSpPr>
          <xdr:spPr>
            <a:xfrm>
              <a:off x="4457701" y="1459380"/>
              <a:ext cx="1095561" cy="28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rial Rounded MT Bold" panose="020F0704030504030204" pitchFamily="34" charset="0"/>
                </a:rPr>
                <a:t>AVG</a:t>
              </a:r>
              <a:r>
                <a:rPr lang="en-IN" sz="1000" baseline="0">
                  <a:latin typeface="Arial Rounded MT Bold" panose="020F0704030504030204" pitchFamily="34" charset="0"/>
                </a:rPr>
                <a:t> RATING</a:t>
              </a:r>
              <a:endParaRPr lang="en-IN" sz="1000">
                <a:latin typeface="Arial Rounded MT Bold" panose="020F0704030504030204" pitchFamily="34" charset="0"/>
              </a:endParaRPr>
            </a:p>
          </xdr:txBody>
        </xdr:sp>
        <xdr:grpSp>
          <xdr:nvGrpSpPr>
            <xdr:cNvPr id="28" name="Group 27"/>
            <xdr:cNvGrpSpPr/>
          </xdr:nvGrpSpPr>
          <xdr:grpSpPr>
            <a:xfrm>
              <a:off x="4438277" y="330573"/>
              <a:ext cx="1194173" cy="524436"/>
              <a:chOff x="4438277" y="330573"/>
              <a:chExt cx="1194173" cy="524436"/>
            </a:xfrm>
          </xdr:grpSpPr>
          <xdr:sp macro="" textlink="'KPI &amp; charts'!B8">
            <xdr:nvSpPr>
              <xdr:cNvPr id="15" name="TextBox 14"/>
              <xdr:cNvSpPr txBox="1"/>
            </xdr:nvSpPr>
            <xdr:spPr>
              <a:xfrm>
                <a:off x="4580219" y="330573"/>
                <a:ext cx="1000311" cy="2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401F7D-6C47-4B78-B52B-2F554E65CE2A}" type="TxLink">
                  <a:rPr lang="en-US" sz="1400" b="0" i="0" u="none" strike="noStrike">
                    <a:solidFill>
                      <a:srgbClr val="000000"/>
                    </a:solidFill>
                    <a:latin typeface="Arial Black" panose="020B0A04020102020204" pitchFamily="34" charset="0"/>
                    <a:cs typeface="Calibri"/>
                  </a:rPr>
                  <a:pPr/>
                  <a:t>$141</a:t>
                </a:fld>
                <a:endParaRPr lang="en-IN" sz="1800">
                  <a:latin typeface="Arial Black" panose="020B0A04020102020204" pitchFamily="34" charset="0"/>
                </a:endParaRPr>
              </a:p>
            </xdr:txBody>
          </xdr:sp>
          <xdr:sp macro="" textlink="">
            <xdr:nvSpPr>
              <xdr:cNvPr id="18" name="TextBox 17"/>
              <xdr:cNvSpPr txBox="1"/>
            </xdr:nvSpPr>
            <xdr:spPr>
              <a:xfrm>
                <a:off x="4438277" y="565524"/>
                <a:ext cx="1194173" cy="28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rial Rounded MT Bold" panose="020F0704030504030204" pitchFamily="34" charset="0"/>
                  </a:rPr>
                  <a:t>AVG</a:t>
                </a:r>
                <a:r>
                  <a:rPr lang="en-IN" sz="1000" baseline="0">
                    <a:latin typeface="Arial Rounded MT Bold" panose="020F0704030504030204" pitchFamily="34" charset="0"/>
                  </a:rPr>
                  <a:t> SALES</a:t>
                </a:r>
                <a:endParaRPr lang="en-IN" sz="1000">
                  <a:latin typeface="Arial Rounded MT Bold" panose="020F0704030504030204" pitchFamily="34" charset="0"/>
                </a:endParaRPr>
              </a:p>
            </xdr:txBody>
          </xdr:sp>
        </xdr:grpSp>
      </xdr:grpSp>
      <xdr:sp macro="" textlink="">
        <xdr:nvSpPr>
          <xdr:cNvPr id="19" name="TextBox 18"/>
          <xdr:cNvSpPr txBox="1"/>
        </xdr:nvSpPr>
        <xdr:spPr>
          <a:xfrm>
            <a:off x="2200835" y="614456"/>
            <a:ext cx="1194174" cy="28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rial Rounded MT Bold" panose="020F0704030504030204" pitchFamily="34" charset="0"/>
              </a:rPr>
              <a:t>TOTAL</a:t>
            </a:r>
            <a:r>
              <a:rPr lang="en-IN" sz="1000" baseline="0">
                <a:latin typeface="Arial Rounded MT Bold" panose="020F0704030504030204" pitchFamily="34" charset="0"/>
              </a:rPr>
              <a:t> SALES</a:t>
            </a:r>
            <a:endParaRPr lang="en-IN" sz="1000">
              <a:latin typeface="Arial Rounded MT Bold" panose="020F0704030504030204" pitchFamily="34" charset="0"/>
            </a:endParaRPr>
          </a:p>
        </xdr:txBody>
      </xdr:sp>
    </xdr:grpSp>
    <xdr:clientData/>
  </xdr:twoCellAnchor>
  <xdr:twoCellAnchor editAs="oneCell">
    <xdr:from>
      <xdr:col>0</xdr:col>
      <xdr:colOff>605120</xdr:colOff>
      <xdr:row>6</xdr:row>
      <xdr:rowOff>745</xdr:rowOff>
    </xdr:from>
    <xdr:to>
      <xdr:col>3</xdr:col>
      <xdr:colOff>156883</xdr:colOff>
      <xdr:row>12</xdr:row>
      <xdr:rowOff>22410</xdr:rowOff>
    </xdr:to>
    <mc:AlternateContent xmlns:mc="http://schemas.openxmlformats.org/markup-compatibility/2006">
      <mc:Choice xmlns:a14="http://schemas.microsoft.com/office/drawing/2010/main" Requires="a14">
        <xdr:graphicFrame macro="">
          <xdr:nvGraphicFramePr>
            <xdr:cNvPr id="21"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605120" y="1166157"/>
              <a:ext cx="1523998" cy="1187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500530</xdr:colOff>
      <xdr:row>10</xdr:row>
      <xdr:rowOff>54162</xdr:rowOff>
    </xdr:from>
    <xdr:to>
      <xdr:col>10</xdr:col>
      <xdr:colOff>78814</xdr:colOff>
      <xdr:row>27</xdr:row>
      <xdr:rowOff>28762</xdr:rowOff>
    </xdr:to>
    <xdr:sp macro="" textlink="">
      <xdr:nvSpPr>
        <xdr:cNvPr id="23" name="Rounded Rectangle 22"/>
        <xdr:cNvSpPr/>
      </xdr:nvSpPr>
      <xdr:spPr>
        <a:xfrm>
          <a:off x="2472765" y="1996515"/>
          <a:ext cx="4180167" cy="3276600"/>
        </a:xfrm>
        <a:prstGeom prst="roundRect">
          <a:avLst>
            <a:gd name="adj" fmla="val 534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555065</xdr:colOff>
      <xdr:row>10</xdr:row>
      <xdr:rowOff>114673</xdr:rowOff>
    </xdr:from>
    <xdr:to>
      <xdr:col>5</xdr:col>
      <xdr:colOff>434414</xdr:colOff>
      <xdr:row>11</xdr:row>
      <xdr:rowOff>140073</xdr:rowOff>
    </xdr:to>
    <xdr:sp macro="" textlink="">
      <xdr:nvSpPr>
        <xdr:cNvPr id="24" name="TextBox 23"/>
        <xdr:cNvSpPr txBox="1"/>
      </xdr:nvSpPr>
      <xdr:spPr>
        <a:xfrm>
          <a:off x="2527300" y="2057026"/>
          <a:ext cx="1194173" cy="21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FAT</a:t>
          </a:r>
          <a:r>
            <a:rPr lang="en-IN" sz="1050" baseline="0">
              <a:latin typeface="Arial Rounded MT Bold" panose="020F0704030504030204" pitchFamily="34" charset="0"/>
            </a:rPr>
            <a:t> CONTENT</a:t>
          </a:r>
          <a:endParaRPr lang="en-IN" sz="1050">
            <a:latin typeface="Arial Rounded MT Bold" panose="020F0704030504030204" pitchFamily="34" charset="0"/>
          </a:endParaRPr>
        </a:p>
      </xdr:txBody>
    </xdr:sp>
    <xdr:clientData/>
  </xdr:twoCellAnchor>
  <xdr:twoCellAnchor>
    <xdr:from>
      <xdr:col>3</xdr:col>
      <xdr:colOff>582706</xdr:colOff>
      <xdr:row>11</xdr:row>
      <xdr:rowOff>115420</xdr:rowOff>
    </xdr:from>
    <xdr:to>
      <xdr:col>7</xdr:col>
      <xdr:colOff>17556</xdr:colOff>
      <xdr:row>19</xdr:row>
      <xdr:rowOff>3734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491564</xdr:colOff>
      <xdr:row>10</xdr:row>
      <xdr:rowOff>106084</xdr:rowOff>
    </xdr:from>
    <xdr:to>
      <xdr:col>6</xdr:col>
      <xdr:colOff>491564</xdr:colOff>
      <xdr:row>27</xdr:row>
      <xdr:rowOff>7099</xdr:rowOff>
    </xdr:to>
    <xdr:cxnSp macro="">
      <xdr:nvCxnSpPr>
        <xdr:cNvPr id="7" name="Straight Connector 6"/>
        <xdr:cNvCxnSpPr/>
      </xdr:nvCxnSpPr>
      <xdr:spPr>
        <a:xfrm>
          <a:off x="4436035" y="2048437"/>
          <a:ext cx="0" cy="320301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500530</xdr:colOff>
      <xdr:row>18</xdr:row>
      <xdr:rowOff>127000</xdr:rowOff>
    </xdr:from>
    <xdr:to>
      <xdr:col>6</xdr:col>
      <xdr:colOff>485588</xdr:colOff>
      <xdr:row>18</xdr:row>
      <xdr:rowOff>138580</xdr:rowOff>
    </xdr:to>
    <xdr:cxnSp macro="">
      <xdr:nvCxnSpPr>
        <xdr:cNvPr id="33" name="Straight Connector 32"/>
        <xdr:cNvCxnSpPr>
          <a:stCxn id="23" idx="1"/>
        </xdr:cNvCxnSpPr>
      </xdr:nvCxnSpPr>
      <xdr:spPr>
        <a:xfrm flipV="1">
          <a:off x="2472765" y="3623235"/>
          <a:ext cx="1957294" cy="1158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581960</xdr:colOff>
      <xdr:row>18</xdr:row>
      <xdr:rowOff>175933</xdr:rowOff>
    </xdr:from>
    <xdr:to>
      <xdr:col>6</xdr:col>
      <xdr:colOff>478117</xdr:colOff>
      <xdr:row>26</xdr:row>
      <xdr:rowOff>156883</xdr:rowOff>
    </xdr:to>
    <xdr:grpSp>
      <xdr:nvGrpSpPr>
        <xdr:cNvPr id="20" name="Group 19"/>
        <xdr:cNvGrpSpPr/>
      </xdr:nvGrpSpPr>
      <xdr:grpSpPr>
        <a:xfrm>
          <a:off x="2554195" y="3672168"/>
          <a:ext cx="1868393" cy="1534833"/>
          <a:chOff x="1911724" y="3642285"/>
          <a:chExt cx="1743635" cy="1534833"/>
        </a:xfrm>
      </xdr:grpSpPr>
      <xdr:graphicFrame macro="">
        <xdr:nvGraphicFramePr>
          <xdr:cNvPr id="40" name="Chart 39"/>
          <xdr:cNvGraphicFramePr>
            <a:graphicFrameLocks/>
          </xdr:cNvGraphicFramePr>
        </xdr:nvGraphicFramePr>
        <xdr:xfrm>
          <a:off x="1968874" y="3874621"/>
          <a:ext cx="1686485" cy="130249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1" name="TextBox 40"/>
          <xdr:cNvSpPr txBox="1"/>
        </xdr:nvSpPr>
        <xdr:spPr>
          <a:xfrm>
            <a:off x="1911724" y="3642285"/>
            <a:ext cx="1445185" cy="20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FAT</a:t>
            </a:r>
            <a:r>
              <a:rPr lang="en-IN" sz="1050" baseline="0">
                <a:latin typeface="Arial Rounded MT Bold" panose="020F0704030504030204" pitchFamily="34" charset="0"/>
              </a:rPr>
              <a:t> BY OUTLET</a:t>
            </a:r>
            <a:endParaRPr lang="en-IN" sz="1050">
              <a:latin typeface="Arial Rounded MT Bold" panose="020F0704030504030204" pitchFamily="34" charset="0"/>
            </a:endParaRPr>
          </a:p>
        </xdr:txBody>
      </xdr:sp>
    </xdr:grpSp>
    <xdr:clientData/>
  </xdr:twoCellAnchor>
  <xdr:twoCellAnchor>
    <xdr:from>
      <xdr:col>6</xdr:col>
      <xdr:colOff>515470</xdr:colOff>
      <xdr:row>10</xdr:row>
      <xdr:rowOff>185645</xdr:rowOff>
    </xdr:from>
    <xdr:to>
      <xdr:col>9</xdr:col>
      <xdr:colOff>649941</xdr:colOff>
      <xdr:row>27</xdr:row>
      <xdr:rowOff>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154269</xdr:colOff>
      <xdr:row>10</xdr:row>
      <xdr:rowOff>35858</xdr:rowOff>
    </xdr:from>
    <xdr:to>
      <xdr:col>9</xdr:col>
      <xdr:colOff>33618</xdr:colOff>
      <xdr:row>11</xdr:row>
      <xdr:rowOff>61258</xdr:rowOff>
    </xdr:to>
    <xdr:sp macro="" textlink="">
      <xdr:nvSpPr>
        <xdr:cNvPr id="44" name="TextBox 43"/>
        <xdr:cNvSpPr txBox="1"/>
      </xdr:nvSpPr>
      <xdr:spPr>
        <a:xfrm>
          <a:off x="4756151" y="1978211"/>
          <a:ext cx="1194173" cy="21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ITEM</a:t>
          </a:r>
          <a:r>
            <a:rPr lang="en-IN" sz="1050" baseline="0">
              <a:latin typeface="Arial Rounded MT Bold" panose="020F0704030504030204" pitchFamily="34" charset="0"/>
            </a:rPr>
            <a:t> TYPE</a:t>
          </a:r>
          <a:endParaRPr lang="en-IN" sz="1050">
            <a:latin typeface="Arial Rounded MT Bold" panose="020F0704030504030204" pitchFamily="34" charset="0"/>
          </a:endParaRPr>
        </a:p>
      </xdr:txBody>
    </xdr:sp>
    <xdr:clientData/>
  </xdr:twoCellAnchor>
  <xdr:twoCellAnchor>
    <xdr:from>
      <xdr:col>10</xdr:col>
      <xdr:colOff>241300</xdr:colOff>
      <xdr:row>1</xdr:row>
      <xdr:rowOff>69850</xdr:rowOff>
    </xdr:from>
    <xdr:to>
      <xdr:col>17</xdr:col>
      <xdr:colOff>545760</xdr:colOff>
      <xdr:row>26</xdr:row>
      <xdr:rowOff>177800</xdr:rowOff>
    </xdr:to>
    <xdr:grpSp>
      <xdr:nvGrpSpPr>
        <xdr:cNvPr id="3" name="Group 2"/>
        <xdr:cNvGrpSpPr/>
      </xdr:nvGrpSpPr>
      <xdr:grpSpPr>
        <a:xfrm>
          <a:off x="6815418" y="264085"/>
          <a:ext cx="4906342" cy="4963833"/>
          <a:chOff x="5657850" y="285750"/>
          <a:chExt cx="4929244" cy="5029200"/>
        </a:xfrm>
      </xdr:grpSpPr>
      <xdr:sp macro="" textlink="">
        <xdr:nvSpPr>
          <xdr:cNvPr id="29" name="Rounded Rectangle 28"/>
          <xdr:cNvSpPr/>
        </xdr:nvSpPr>
        <xdr:spPr>
          <a:xfrm>
            <a:off x="5657850" y="285750"/>
            <a:ext cx="4502150" cy="5029200"/>
          </a:xfrm>
          <a:prstGeom prst="roundRect">
            <a:avLst>
              <a:gd name="adj" fmla="val 534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xdr:cNvGraphicFramePr>
            <a:graphicFrameLocks/>
          </xdr:cNvGraphicFramePr>
        </xdr:nvGraphicFramePr>
        <xdr:xfrm>
          <a:off x="5698262" y="472325"/>
          <a:ext cx="4400569" cy="146081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1" name="TextBox 30"/>
          <xdr:cNvSpPr txBox="1"/>
        </xdr:nvSpPr>
        <xdr:spPr>
          <a:xfrm>
            <a:off x="5746750" y="336550"/>
            <a:ext cx="2717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OUTLET</a:t>
            </a:r>
            <a:r>
              <a:rPr lang="en-IN" sz="1050" baseline="0">
                <a:latin typeface="Arial Rounded MT Bold" panose="020F0704030504030204" pitchFamily="34" charset="0"/>
              </a:rPr>
              <a:t> ESTABLISHMENT</a:t>
            </a:r>
            <a:endParaRPr lang="en-IN" sz="1050">
              <a:latin typeface="Arial Rounded MT Bold" panose="020F0704030504030204" pitchFamily="34" charset="0"/>
            </a:endParaRPr>
          </a:p>
        </xdr:txBody>
      </xdr:sp>
      <xdr:sp macro="" textlink="">
        <xdr:nvSpPr>
          <xdr:cNvPr id="62" name="TextBox 61"/>
          <xdr:cNvSpPr txBox="1"/>
        </xdr:nvSpPr>
        <xdr:spPr>
          <a:xfrm>
            <a:off x="5682203" y="2080440"/>
            <a:ext cx="2717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OUTLET</a:t>
            </a:r>
            <a:r>
              <a:rPr lang="en-IN" sz="1050" baseline="0">
                <a:latin typeface="Arial Rounded MT Bold" panose="020F0704030504030204" pitchFamily="34" charset="0"/>
              </a:rPr>
              <a:t> SIZE</a:t>
            </a:r>
            <a:endParaRPr lang="en-IN" sz="1050">
              <a:latin typeface="Arial Rounded MT Bold" panose="020F0704030504030204" pitchFamily="34" charset="0"/>
            </a:endParaRPr>
          </a:p>
        </xdr:txBody>
      </xdr:sp>
      <xdr:sp macro="" textlink="">
        <xdr:nvSpPr>
          <xdr:cNvPr id="75" name="TextBox 74"/>
          <xdr:cNvSpPr txBox="1"/>
        </xdr:nvSpPr>
        <xdr:spPr>
          <a:xfrm>
            <a:off x="7869294" y="2075899"/>
            <a:ext cx="2717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OUTLET</a:t>
            </a:r>
            <a:r>
              <a:rPr lang="en-IN" sz="1050" baseline="0">
                <a:latin typeface="Arial Rounded MT Bold" panose="020F0704030504030204" pitchFamily="34" charset="0"/>
              </a:rPr>
              <a:t> LOCATION</a:t>
            </a:r>
          </a:p>
          <a:p>
            <a:endParaRPr lang="en-IN" sz="1050">
              <a:latin typeface="Arial Rounded MT Bold" panose="020F0704030504030204" pitchFamily="34" charset="0"/>
            </a:endParaRPr>
          </a:p>
        </xdr:txBody>
      </xdr:sp>
      <xdr:sp macro="" textlink="">
        <xdr:nvSpPr>
          <xdr:cNvPr id="46" name="TextBox 45"/>
          <xdr:cNvSpPr txBox="1"/>
        </xdr:nvSpPr>
        <xdr:spPr>
          <a:xfrm>
            <a:off x="5763263" y="3797082"/>
            <a:ext cx="1633602" cy="232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Arial Rounded MT Bold" panose="020F0704030504030204" pitchFamily="34" charset="0"/>
              </a:rPr>
              <a:t>OUTLET</a:t>
            </a:r>
            <a:r>
              <a:rPr lang="en-IN" sz="1050" baseline="0">
                <a:latin typeface="Arial Rounded MT Bold" panose="020F0704030504030204" pitchFamily="34" charset="0"/>
              </a:rPr>
              <a:t> TYPE</a:t>
            </a:r>
          </a:p>
          <a:p>
            <a:endParaRPr lang="en-IN" sz="1050">
              <a:latin typeface="Arial Rounded MT Bold" panose="020F0704030504030204" pitchFamily="34" charset="0"/>
            </a:endParaRPr>
          </a:p>
        </xdr:txBody>
      </xdr:sp>
    </xdr:grpSp>
    <xdr:clientData/>
  </xdr:twoCellAnchor>
  <xdr:twoCellAnchor>
    <xdr:from>
      <xdr:col>10</xdr:col>
      <xdr:colOff>322729</xdr:colOff>
      <xdr:row>10</xdr:row>
      <xdr:rowOff>52294</xdr:rowOff>
    </xdr:from>
    <xdr:to>
      <xdr:col>17</xdr:col>
      <xdr:colOff>89647</xdr:colOff>
      <xdr:row>10</xdr:row>
      <xdr:rowOff>77323</xdr:rowOff>
    </xdr:to>
    <xdr:cxnSp macro="">
      <xdr:nvCxnSpPr>
        <xdr:cNvPr id="60" name="Straight Connector 59"/>
        <xdr:cNvCxnSpPr/>
      </xdr:nvCxnSpPr>
      <xdr:spPr>
        <a:xfrm flipH="1">
          <a:off x="6896847" y="1994647"/>
          <a:ext cx="4368800" cy="2502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261469</xdr:colOff>
      <xdr:row>11</xdr:row>
      <xdr:rowOff>47440</xdr:rowOff>
    </xdr:from>
    <xdr:to>
      <xdr:col>13</xdr:col>
      <xdr:colOff>283881</xdr:colOff>
      <xdr:row>19</xdr:row>
      <xdr:rowOff>82177</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440765</xdr:colOff>
      <xdr:row>10</xdr:row>
      <xdr:rowOff>74707</xdr:rowOff>
    </xdr:from>
    <xdr:to>
      <xdr:col>13</xdr:col>
      <xdr:colOff>455706</xdr:colOff>
      <xdr:row>19</xdr:row>
      <xdr:rowOff>0</xdr:rowOff>
    </xdr:to>
    <xdr:cxnSp macro="">
      <xdr:nvCxnSpPr>
        <xdr:cNvPr id="63" name="Straight Connector 62"/>
        <xdr:cNvCxnSpPr/>
      </xdr:nvCxnSpPr>
      <xdr:spPr>
        <a:xfrm flipH="1" flipV="1">
          <a:off x="8987118" y="2017060"/>
          <a:ext cx="14941" cy="167341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547596</xdr:colOff>
      <xdr:row>11</xdr:row>
      <xdr:rowOff>112060</xdr:rowOff>
    </xdr:from>
    <xdr:to>
      <xdr:col>17</xdr:col>
      <xdr:colOff>52295</xdr:colOff>
      <xdr:row>18</xdr:row>
      <xdr:rowOff>126999</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264460</xdr:colOff>
      <xdr:row>19</xdr:row>
      <xdr:rowOff>14941</xdr:rowOff>
    </xdr:from>
    <xdr:to>
      <xdr:col>17</xdr:col>
      <xdr:colOff>89647</xdr:colOff>
      <xdr:row>19</xdr:row>
      <xdr:rowOff>32872</xdr:rowOff>
    </xdr:to>
    <xdr:cxnSp macro="">
      <xdr:nvCxnSpPr>
        <xdr:cNvPr id="71" name="Straight Connector 70"/>
        <xdr:cNvCxnSpPr/>
      </xdr:nvCxnSpPr>
      <xdr:spPr>
        <a:xfrm flipV="1">
          <a:off x="6838578" y="3705412"/>
          <a:ext cx="4427069" cy="1793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353359</xdr:colOff>
      <xdr:row>20</xdr:row>
      <xdr:rowOff>69850</xdr:rowOff>
    </xdr:from>
    <xdr:to>
      <xdr:col>12</xdr:col>
      <xdr:colOff>515471</xdr:colOff>
      <xdr:row>26</xdr:row>
      <xdr:rowOff>156882</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366059</xdr:colOff>
      <xdr:row>20</xdr:row>
      <xdr:rowOff>17556</xdr:rowOff>
    </xdr:from>
    <xdr:to>
      <xdr:col>15</xdr:col>
      <xdr:colOff>44824</xdr:colOff>
      <xdr:row>26</xdr:row>
      <xdr:rowOff>149412</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443007</xdr:colOff>
      <xdr:row>19</xdr:row>
      <xdr:rowOff>189379</xdr:rowOff>
    </xdr:from>
    <xdr:to>
      <xdr:col>17</xdr:col>
      <xdr:colOff>82177</xdr:colOff>
      <xdr:row>26</xdr:row>
      <xdr:rowOff>141940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612588</xdr:colOff>
      <xdr:row>4</xdr:row>
      <xdr:rowOff>141941</xdr:rowOff>
    </xdr:from>
    <xdr:to>
      <xdr:col>3</xdr:col>
      <xdr:colOff>82177</xdr:colOff>
      <xdr:row>6</xdr:row>
      <xdr:rowOff>37352</xdr:rowOff>
    </xdr:to>
    <xdr:sp macro="" textlink="">
      <xdr:nvSpPr>
        <xdr:cNvPr id="22" name="TextBox 21"/>
        <xdr:cNvSpPr txBox="1"/>
      </xdr:nvSpPr>
      <xdr:spPr>
        <a:xfrm>
          <a:off x="612588" y="918882"/>
          <a:ext cx="1441824" cy="283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Rounded MT Bold" panose="020F0704030504030204" pitchFamily="34" charset="0"/>
            </a:rPr>
            <a:t>Filter Pannel</a:t>
          </a:r>
          <a:endParaRPr lang="en-IN" sz="1100">
            <a:latin typeface="Arial Rounded MT Bold" panose="020F0704030504030204" pitchFamily="34" charset="0"/>
          </a:endParaRPr>
        </a:p>
      </xdr:txBody>
    </xdr:sp>
    <xdr:clientData/>
  </xdr:twoCellAnchor>
  <xdr:twoCellAnchor editAs="oneCell">
    <xdr:from>
      <xdr:col>0</xdr:col>
      <xdr:colOff>615765</xdr:colOff>
      <xdr:row>12</xdr:row>
      <xdr:rowOff>68733</xdr:rowOff>
    </xdr:from>
    <xdr:to>
      <xdr:col>3</xdr:col>
      <xdr:colOff>155530</xdr:colOff>
      <xdr:row>18</xdr:row>
      <xdr:rowOff>52296</xdr:rowOff>
    </xdr:to>
    <mc:AlternateContent xmlns:mc="http://schemas.openxmlformats.org/markup-compatibility/2006">
      <mc:Choice xmlns:a14="http://schemas.microsoft.com/office/drawing/2010/main" Requires="a14">
        <xdr:graphicFrame macro="">
          <xdr:nvGraphicFramePr>
            <xdr:cNvPr id="49"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615765" y="2399557"/>
              <a:ext cx="1512000" cy="1148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600823</xdr:colOff>
      <xdr:row>18</xdr:row>
      <xdr:rowOff>106086</xdr:rowOff>
    </xdr:from>
    <xdr:to>
      <xdr:col>3</xdr:col>
      <xdr:colOff>125588</xdr:colOff>
      <xdr:row>26</xdr:row>
      <xdr:rowOff>59765</xdr:rowOff>
    </xdr:to>
    <mc:AlternateContent xmlns:mc="http://schemas.openxmlformats.org/markup-compatibility/2006">
      <mc:Choice xmlns:a14="http://schemas.microsoft.com/office/drawing/2010/main" Requires="a14">
        <xdr:graphicFrame macro="">
          <xdr:nvGraphicFramePr>
            <xdr:cNvPr id="50"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600823" y="3602321"/>
              <a:ext cx="1497000" cy="1507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32.410264930557" createdVersion="5" refreshedVersion="5" minRefreshableVersion="3" recordCount="8523">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3">
    <pivotField showAll="0"/>
    <pivotField dataField="1" showAll="0" defaultSubtota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defaultSubtota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2" fld="11" subtotal="average" baseField="0" baseItem="1"/>
    <dataField name="Count of S.No" fld="1" subtotal="count" baseField="0" baseItem="1"/>
    <dataField name="Average of Rating" fld="12" subtotal="average" baseField="0" baseItem="1"/>
  </dataFields>
  <formats count="3">
    <format dxfId="117">
      <pivotArea type="all" dataOnly="0" outline="0" fieldPosition="0"/>
    </format>
    <format dxfId="116">
      <pivotArea outline="0" collapsedLevelsAreSubtotals="1" fieldPosition="0"/>
    </format>
    <format dxfId="1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8">
  <location ref="A73:B76" firstHeaderRow="1" firstDataRow="1" firstDataCol="1"/>
  <pivotFields count="13">
    <pivotField showAll="0"/>
    <pivotField showAll="0" defaultSubtota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defaultSubtotal="0"/>
    <pivotField showAll="0"/>
  </pivotFields>
  <rowFields count="1">
    <field x="6"/>
  </rowFields>
  <rowItems count="3">
    <i>
      <x/>
    </i>
    <i>
      <x v="1"/>
    </i>
    <i>
      <x v="2"/>
    </i>
  </rowItems>
  <colItems count="1">
    <i/>
  </colItems>
  <dataFields count="1">
    <dataField name="Sum of Total Sales" fld="11" baseField="0" baseItem="0" numFmtId="167"/>
  </dataFields>
  <formats count="9">
    <format dxfId="126">
      <pivotArea type="all" dataOnly="0" outline="0" fieldPosition="0"/>
    </format>
    <format dxfId="125">
      <pivotArea type="all" dataOnly="0" outline="0" fieldPosition="0"/>
    </format>
    <format dxfId="124">
      <pivotArea outline="0" collapsedLevelsAreSubtotals="1"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field="6" type="button" dataOnly="0" labelOnly="1" outline="0" axis="axisRow" fieldPosition="0"/>
    </format>
    <format dxfId="119">
      <pivotArea dataOnly="0" labelOnly="1" outline="0" axis="axisValues" fieldPosition="0"/>
    </format>
    <format dxfId="118">
      <pivotArea dataOnly="0" labelOnly="1" fieldPosition="0">
        <references count="1">
          <reference field="6" count="0"/>
        </references>
      </pivotArea>
    </format>
  </formats>
  <chartFormats count="12">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2"/>
          </reference>
        </references>
      </pivotArea>
    </chartFormat>
    <chartFormat chart="18" format="4">
      <pivotArea type="data" outline="0" fieldPosition="0">
        <references count="2">
          <reference field="4294967294" count="1" selected="0">
            <x v="0"/>
          </reference>
          <reference field="6" count="1" selected="0">
            <x v="1"/>
          </reference>
        </references>
      </pivotArea>
    </chartFormat>
    <chartFormat chart="18"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19:C23" firstHeaderRow="1" firstDataRow="2" firstDataCol="1"/>
  <pivotFields count="13">
    <pivotField axis="axisCol" showAll="0">
      <items count="3">
        <item x="0"/>
        <item x="1"/>
        <item t="default"/>
      </items>
    </pivotField>
    <pivotField showAll="0" defaultSubtota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defaultSubtota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6">
    <format dxfId="132">
      <pivotArea type="all" dataOnly="0" outline="0" fieldPosition="0"/>
    </format>
    <format dxfId="131">
      <pivotArea collapsedLevelsAreSubtotals="1" fieldPosition="0">
        <references count="1">
          <reference field="6" count="0"/>
        </references>
      </pivotArea>
    </format>
    <format dxfId="130">
      <pivotArea type="all" dataOnly="0" outline="0" fieldPosition="0"/>
    </format>
    <format dxfId="129">
      <pivotArea outline="0" collapsedLevelsAreSubtotals="1" fieldPosition="0"/>
    </format>
    <format dxfId="128">
      <pivotArea dataOnly="0" labelOnly="1" fieldPosition="0">
        <references count="1">
          <reference field="6" count="0"/>
        </references>
      </pivotArea>
    </format>
    <format dxfId="127">
      <pivotArea dataOnly="0" labelOnly="1" fieldPosition="0">
        <references count="1">
          <reference field="0" count="0"/>
        </references>
      </pivotArea>
    </format>
  </formats>
  <chartFormats count="6">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2">
          <reference field="4294967294" count="1" selected="0">
            <x v="0"/>
          </reference>
          <reference field="0" count="1" selected="0">
            <x v="1"/>
          </reference>
        </references>
      </pivotArea>
    </chartFormat>
    <chartFormat chart="1" format="3" series="1">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6">
  <location ref="A59:B62" firstHeaderRow="1" firstDataRow="1" firstDataCol="1"/>
  <pivotFields count="13">
    <pivotField showAll="0"/>
    <pivotField showAll="0" defaultSubtota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4">
        <item x="2"/>
        <item x="0"/>
        <item x="1"/>
        <item t="default"/>
      </items>
    </pivotField>
    <pivotField showAll="0"/>
    <pivotField showAll="0"/>
    <pivotField showAll="0"/>
    <pivotField dataField="1" showAll="0" defaultSubtotal="0"/>
    <pivotField showAll="0"/>
  </pivotFields>
  <rowFields count="1">
    <field x="7"/>
  </rowFields>
  <rowItems count="3">
    <i>
      <x/>
    </i>
    <i>
      <x v="1"/>
    </i>
    <i>
      <x v="2"/>
    </i>
  </rowItems>
  <colItems count="1">
    <i/>
  </colItems>
  <dataFields count="1">
    <dataField name="Sum of Total Sales" fld="11" baseField="0" baseItem="0" numFmtId="167"/>
  </dataFields>
  <formats count="9">
    <format dxfId="18">
      <pivotArea type="all" dataOnly="0" outline="0" fieldPosition="0"/>
    </format>
    <format dxfId="19">
      <pivotArea type="all" dataOnly="0" outline="0" fieldPosition="0"/>
    </format>
    <format dxfId="20">
      <pivotArea outline="0" collapsedLevelsAreSubtotals="1" fieldPosition="0"/>
    </format>
    <format dxfId="21">
      <pivotArea outline="0" collapsedLevelsAreSubtotals="1" fieldPosition="0"/>
    </format>
    <format dxfId="22">
      <pivotArea type="all" dataOnly="0" outline="0" fieldPosition="0"/>
    </format>
    <format dxfId="23">
      <pivotArea outline="0" collapsedLevelsAreSubtotals="1" fieldPosition="0"/>
    </format>
    <format dxfId="24">
      <pivotArea field="7" type="button" dataOnly="0" labelOnly="1" outline="0" axis="axisRow" fieldPosition="0"/>
    </format>
    <format dxfId="25">
      <pivotArea dataOnly="0" labelOnly="1" outline="0" axis="axisValues" fieldPosition="0"/>
    </format>
    <format dxfId="26">
      <pivotArea dataOnly="0" labelOnly="1" fieldPosition="0">
        <references count="1">
          <reference field="7" count="0"/>
        </references>
      </pivotArea>
    </format>
  </formats>
  <chartFormats count="1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location ref="A46:B55" firstHeaderRow="1" firstDataRow="1" firstDataCol="1"/>
  <pivotFields count="13">
    <pivotField showAll="0"/>
    <pivotField showAll="0" defaultSubtotal="0"/>
    <pivotField showAll="0"/>
    <pivotField showAll="0" sortType="ascending">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defaultSubtota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9">
    <format dxfId="141">
      <pivotArea type="all" dataOnly="0" outline="0" fieldPosition="0"/>
    </format>
    <format dxfId="140">
      <pivotArea type="all" dataOnly="0" outline="0" fieldPosition="0"/>
    </format>
    <format dxfId="139">
      <pivotArea outline="0" collapsedLevelsAreSubtotals="1"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field="4" type="button" dataOnly="0" labelOnly="1" outline="0" axis="axisRow" fieldPosition="0"/>
    </format>
    <format dxfId="134">
      <pivotArea dataOnly="0" labelOnly="1" outline="0" axis="axisValues" fieldPosition="0"/>
    </format>
    <format dxfId="133">
      <pivotArea dataOnly="0" labelOnly="1" fieldPosition="0">
        <references count="1">
          <reference field="4" count="0"/>
        </references>
      </pivotArea>
    </format>
  </formats>
  <chartFormats count="1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1">
  <location ref="A108:B112" firstHeaderRow="1" firstDataRow="1" firstDataCol="1"/>
  <pivotFields count="13">
    <pivotField showAll="0"/>
    <pivotField dataField="1" showAll="0" defaultSubtota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pivotFields>
  <rowFields count="1">
    <field x="8"/>
  </rowFields>
  <rowItems count="4">
    <i>
      <x v="2"/>
    </i>
    <i>
      <x v="3"/>
    </i>
    <i>
      <x/>
    </i>
    <i>
      <x v="1"/>
    </i>
  </rowItems>
  <colItems count="1">
    <i/>
  </colItems>
  <dataFields count="1">
    <dataField name="Count of S.No" fld="1" subtotal="count" baseField="6" baseItem="0"/>
  </dataFields>
  <formats count="9">
    <format dxfId="145">
      <pivotArea type="all" dataOnly="0" outline="0" fieldPosition="0"/>
    </format>
    <format dxfId="144">
      <pivotArea type="all" dataOnly="0" outline="0" fieldPosition="0"/>
    </format>
    <format dxfId="143">
      <pivotArea outline="0" collapsedLevelsAreSubtotals="1" fieldPosition="0"/>
    </format>
    <format dxfId="142">
      <pivotArea outline="0" collapsedLevelsAreSubtotals="1" fieldPosition="0"/>
    </format>
    <format dxfId="55">
      <pivotArea type="all" dataOnly="0" outline="0" fieldPosition="0"/>
    </format>
    <format dxfId="54">
      <pivotArea outline="0" collapsedLevelsAreSubtotals="1" fieldPosition="0"/>
    </format>
    <format dxfId="53">
      <pivotArea field="8" type="button" dataOnly="0" labelOnly="1" outline="0" axis="axisRow" fieldPosition="0"/>
    </format>
    <format dxfId="52">
      <pivotArea dataOnly="0" labelOnly="1" outline="0" axis="axisValues" fieldPosition="0"/>
    </format>
    <format dxfId="51">
      <pivotArea dataOnly="0" labelOnly="1" fieldPosition="0">
        <references count="1">
          <reference field="8" count="0"/>
        </references>
      </pivotArea>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1">
  <location ref="A95:B99" firstHeaderRow="1" firstDataRow="1" firstDataCol="1"/>
  <pivotFields count="13">
    <pivotField showAll="0"/>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defaultSubtotal="0"/>
    <pivotField showAll="0"/>
  </pivotFields>
  <rowFields count="1">
    <field x="8"/>
  </rowFields>
  <rowItems count="4">
    <i>
      <x/>
    </i>
    <i>
      <x v="1"/>
    </i>
    <i>
      <x v="2"/>
    </i>
    <i>
      <x v="3"/>
    </i>
  </rowItems>
  <colItems count="1">
    <i/>
  </colItems>
  <dataFields count="1">
    <dataField name="Average of Total Sales" fld="11" subtotal="average" baseField="6" baseItem="0" numFmtId="167"/>
  </dataFields>
  <formats count="9">
    <format dxfId="149">
      <pivotArea type="all" dataOnly="0" outline="0" fieldPosition="0"/>
    </format>
    <format dxfId="148">
      <pivotArea type="all" dataOnly="0" outline="0" fieldPosition="0"/>
    </format>
    <format dxfId="147">
      <pivotArea outline="0" collapsedLevelsAreSubtotals="1" fieldPosition="0"/>
    </format>
    <format dxfId="146">
      <pivotArea outline="0" collapsedLevelsAreSubtotals="1" fieldPosition="0"/>
    </format>
    <format dxfId="50">
      <pivotArea type="all" dataOnly="0" outline="0" fieldPosition="0"/>
    </format>
    <format dxfId="49">
      <pivotArea outline="0" collapsedLevelsAreSubtotals="1" fieldPosition="0"/>
    </format>
    <format dxfId="48">
      <pivotArea field="8" type="button" dataOnly="0" labelOnly="1" outline="0" axis="axisRow" fieldPosition="0"/>
    </format>
    <format dxfId="47">
      <pivotArea dataOnly="0" labelOnly="1" outline="0" axis="axisValues" fieldPosition="0"/>
    </format>
    <format dxfId="46">
      <pivotArea dataOnly="0" labelOnly="1" fieldPosition="0">
        <references count="1">
          <reference field="8" count="0"/>
        </references>
      </pivotArea>
    </format>
  </formats>
  <chartFormats count="11">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A11:B13" firstHeaderRow="1" firstDataRow="1" firstDataCol="1"/>
  <pivotFields count="13">
    <pivotField axis="axisRow" showAll="0">
      <items count="3">
        <item x="1"/>
        <item x="0"/>
        <item t="default"/>
      </items>
    </pivotField>
    <pivotField showAll="0" defaultSubtota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defaultSubtotal="0"/>
    <pivotField showAll="0"/>
  </pivotFields>
  <rowFields count="1">
    <field x="0"/>
  </rowFields>
  <rowItems count="2">
    <i>
      <x/>
    </i>
    <i>
      <x v="1"/>
    </i>
  </rowItems>
  <colItems count="1">
    <i/>
  </colItems>
  <dataFields count="1">
    <dataField name="Sum of Total Sales" fld="11" baseField="0" baseItem="0" numFmtId="168"/>
  </dataFields>
  <formats count="7">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outline="0" axis="axisValues" fieldPosition="0"/>
    </format>
    <format dxfId="152">
      <pivotArea dataOnly="0" labelOnly="1" fieldPosition="0">
        <references count="1">
          <reference field="0" count="0"/>
        </references>
      </pivotArea>
    </format>
    <format dxfId="151">
      <pivotArea dataOnly="0" labelOnly="1" grandRow="1" outline="0" fieldPosition="0"/>
    </format>
    <format dxfId="15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3">
  <location ref="A87:B91" firstHeaderRow="1" firstDataRow="1" firstDataCol="1"/>
  <pivotFields count="13">
    <pivotField showAll="0"/>
    <pivotField showAll="0" defaultSubtota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defaultSubtotal="0"/>
    <pivotField showAll="0"/>
  </pivotFields>
  <rowFields count="1">
    <field x="8"/>
  </rowFields>
  <rowItems count="4">
    <i>
      <x v="3"/>
    </i>
    <i>
      <x v="2"/>
    </i>
    <i>
      <x/>
    </i>
    <i>
      <x v="1"/>
    </i>
  </rowItems>
  <colItems count="1">
    <i/>
  </colItems>
  <dataFields count="1">
    <dataField name="Sum of Total Sales" fld="11" baseField="0" baseItem="0" numFmtId="167"/>
  </dataFields>
  <formats count="9">
    <format dxfId="111">
      <pivotArea type="all" dataOnly="0" outline="0" fieldPosition="0"/>
    </format>
    <format dxfId="112">
      <pivotArea type="all" dataOnly="0" outline="0" fieldPosition="0"/>
    </format>
    <format dxfId="113">
      <pivotArea outline="0" collapsedLevelsAreSubtotals="1" fieldPosition="0"/>
    </format>
    <format dxfId="114">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outline="0" axis="axisValues" fieldPosition="0"/>
    </format>
    <format dxfId="41">
      <pivotArea dataOnly="0" labelOnly="1" fieldPosition="0">
        <references count="1">
          <reference field="8" count="0"/>
        </references>
      </pivotArea>
    </format>
  </formats>
  <chartFormats count="11">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A27:B43" firstHeaderRow="1" firstDataRow="1" firstDataCol="1"/>
  <pivotFields count="13">
    <pivotField showAll="0"/>
    <pivotField showAll="0" defaultSubtota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defaultSubtota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0">
    <format dxfId="161">
      <pivotArea type="all" dataOnly="0" outline="0" fieldPosition="0"/>
    </format>
    <format dxfId="160">
      <pivotArea type="all" dataOnly="0" outline="0" fieldPosition="0"/>
    </format>
    <format dxfId="159">
      <pivotArea outline="0" collapsedLevelsAreSubtotals="1" fieldPosition="0"/>
    </format>
    <format dxfId="158">
      <pivotArea collapsedLevelsAreSubtotals="1" fieldPosition="0">
        <references count="1">
          <reference field="3" count="1">
            <x v="6"/>
          </reference>
        </references>
      </pivotArea>
    </format>
    <format dxfId="157">
      <pivotArea outline="0" collapsedLevelsAreSubtotals="1" fieldPosition="0"/>
    </format>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outline="0" axis="axisValues" fieldPosition="0"/>
    </format>
    <format dxfId="36">
      <pivotArea dataOnly="0" labelOnly="1" fieldPosition="0">
        <references count="1">
          <reference field="3" count="0"/>
        </references>
      </pivotArea>
    </format>
  </formats>
  <chartFormats count="8">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9"/>
          </reference>
        </references>
      </pivotArea>
    </chartFormat>
    <chartFormat chart="8" format="4">
      <pivotArea type="data" outline="0" fieldPosition="0">
        <references count="2">
          <reference field="4294967294" count="1" selected="0">
            <x v="0"/>
          </reference>
          <reference field="3" count="1" selected="0">
            <x v="13"/>
          </reference>
        </references>
      </pivotArea>
    </chartFormat>
    <chartFormat chart="8" format="5">
      <pivotArea type="data" outline="0" fieldPosition="0">
        <references count="2">
          <reference field="4294967294" count="1" selected="0">
            <x v="0"/>
          </reference>
          <reference field="3" count="1" selected="0">
            <x v="6"/>
          </reference>
        </references>
      </pivotArea>
    </chartFormat>
    <chartFormat chart="8" format="6">
      <pivotArea type="data" outline="0" fieldPosition="0">
        <references count="2">
          <reference field="4294967294" count="1" selected="0">
            <x v="0"/>
          </reference>
          <reference field="3" count="1" selected="0">
            <x v="5"/>
          </reference>
        </references>
      </pivotArea>
    </chartFormat>
    <chartFormat chart="8"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5" name="PivotTable8"/>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5" name="PivotTable9"/>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2466"/>
  <slicer name="Outlet Location Type" cache="Slicer_Outlet_Location_Type" caption="Outlet Location Type" rowHeight="262466"/>
  <slicer name="Item Type"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slicer analysis blinkit 3" rowHeight="216000"/>
  <slicer name="Outlet Location Type 1" cache="Slicer_Outlet_Location_Type" caption="Outlet Location Type" style="slicer analysis blinkit 3" rowHeight="216000"/>
  <slicer name="Item Type 1" cache="Slicer_Item_Type" caption="Item Type" style="slicer analysis blinkit 3" rowHeight="216000"/>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Total 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5956"/>
  <sheetViews>
    <sheetView topLeftCell="A73" zoomScale="70" zoomScaleNormal="70" workbookViewId="0">
      <selection activeCell="L98" sqref="L98"/>
    </sheetView>
  </sheetViews>
  <sheetFormatPr defaultRowHeight="15.5" x14ac:dyDescent="0.35"/>
  <cols>
    <col min="1" max="1" width="17.33203125" customWidth="1"/>
    <col min="2" max="2" width="19.75" customWidth="1"/>
    <col min="3" max="3" width="12.58203125" bestFit="1" customWidth="1"/>
    <col min="4" max="4" width="16" bestFit="1" customWidth="1"/>
  </cols>
  <sheetData>
    <row r="1" spans="1:8" ht="16" thickBot="1" x14ac:dyDescent="0.4"/>
    <row r="2" spans="1:8" ht="22.5" thickBot="1" x14ac:dyDescent="0.7">
      <c r="A2" s="42" t="s">
        <v>1618</v>
      </c>
      <c r="B2" s="44"/>
      <c r="C2" s="42"/>
      <c r="D2" s="44"/>
      <c r="E2" s="21"/>
      <c r="F2" s="21"/>
      <c r="G2" s="21"/>
      <c r="H2" s="1"/>
    </row>
    <row r="3" spans="1:8" ht="16" thickBot="1" x14ac:dyDescent="0.4">
      <c r="A3" s="34" t="s">
        <v>1610</v>
      </c>
      <c r="B3" s="35" t="s">
        <v>1611</v>
      </c>
      <c r="C3" s="35" t="s">
        <v>1612</v>
      </c>
      <c r="D3" s="36" t="s">
        <v>1613</v>
      </c>
      <c r="E3" s="3"/>
      <c r="F3" s="3"/>
      <c r="G3" s="3"/>
      <c r="H3" s="4"/>
    </row>
    <row r="4" spans="1:8" ht="16" thickBot="1" x14ac:dyDescent="0.4">
      <c r="A4" s="31">
        <v>1201681.4928000034</v>
      </c>
      <c r="B4" s="32">
        <v>140.99278338613203</v>
      </c>
      <c r="C4" s="32">
        <v>8523</v>
      </c>
      <c r="D4" s="33">
        <v>3.9658570925731196</v>
      </c>
      <c r="E4" s="3"/>
      <c r="F4" s="3"/>
      <c r="G4" s="3"/>
      <c r="H4" s="4"/>
    </row>
    <row r="5" spans="1:8" x14ac:dyDescent="0.35">
      <c r="A5" s="2"/>
      <c r="B5" s="3"/>
      <c r="C5" s="3"/>
      <c r="D5" s="3"/>
      <c r="E5" s="3"/>
      <c r="F5" s="3"/>
      <c r="G5" s="3"/>
      <c r="H5" s="4"/>
    </row>
    <row r="6" spans="1:8" x14ac:dyDescent="0.35">
      <c r="A6" s="2"/>
      <c r="B6" s="3"/>
      <c r="C6" s="3"/>
      <c r="D6" s="3"/>
      <c r="E6" s="3"/>
      <c r="F6" s="3"/>
      <c r="G6" s="3"/>
      <c r="H6" s="4"/>
    </row>
    <row r="7" spans="1:8" x14ac:dyDescent="0.35">
      <c r="A7" s="2" t="s">
        <v>1614</v>
      </c>
      <c r="B7" s="3" t="s">
        <v>1615</v>
      </c>
      <c r="C7" s="3" t="s">
        <v>1616</v>
      </c>
      <c r="D7" s="3" t="s">
        <v>1617</v>
      </c>
      <c r="E7" s="3"/>
      <c r="F7" s="3"/>
      <c r="G7" s="3"/>
      <c r="H7" s="4"/>
    </row>
    <row r="8" spans="1:8" ht="16" thickBot="1" x14ac:dyDescent="0.4">
      <c r="A8" s="5">
        <f>GETPIVOTDATA("Sum of Total Sales",$A$3)</f>
        <v>1201681.4928000034</v>
      </c>
      <c r="B8" s="6">
        <f>GETPIVOTDATA("Average of Total Sales2",$A$3)</f>
        <v>140.99278338613203</v>
      </c>
      <c r="C8" s="7">
        <f>GETPIVOTDATA("Count of S.No",$A$3)</f>
        <v>8523</v>
      </c>
      <c r="D8" s="25">
        <f>GETPIVOTDATA("Average of Rating",$A$3)</f>
        <v>3.9658570925731196</v>
      </c>
      <c r="E8" s="7"/>
      <c r="F8" s="7"/>
      <c r="G8" s="7"/>
      <c r="H8" s="13"/>
    </row>
    <row r="9" spans="1:8" ht="16" thickBot="1" x14ac:dyDescent="0.4"/>
    <row r="10" spans="1:8" ht="22.5" thickBot="1" x14ac:dyDescent="0.7">
      <c r="A10" s="42" t="s">
        <v>1620</v>
      </c>
      <c r="B10" s="44"/>
      <c r="C10" s="23"/>
      <c r="D10" s="24"/>
    </row>
    <row r="11" spans="1:8" ht="16" thickBot="1" x14ac:dyDescent="0.4">
      <c r="A11" s="14" t="s">
        <v>1619</v>
      </c>
      <c r="B11" s="16" t="s">
        <v>1610</v>
      </c>
      <c r="C11" s="3"/>
      <c r="D11" s="4"/>
    </row>
    <row r="12" spans="1:8" x14ac:dyDescent="0.35">
      <c r="A12" s="15" t="s">
        <v>17</v>
      </c>
      <c r="B12" s="19">
        <v>776319.68840000057</v>
      </c>
      <c r="C12" s="3"/>
      <c r="D12" s="4"/>
    </row>
    <row r="13" spans="1:8" ht="16" thickBot="1" x14ac:dyDescent="0.4">
      <c r="A13" s="11" t="s">
        <v>10</v>
      </c>
      <c r="B13" s="20">
        <v>425361.8043999995</v>
      </c>
      <c r="C13" s="3"/>
      <c r="D13" s="4"/>
    </row>
    <row r="14" spans="1:8" x14ac:dyDescent="0.35">
      <c r="C14" s="3"/>
      <c r="D14" s="4"/>
    </row>
    <row r="15" spans="1:8" ht="16" thickBot="1" x14ac:dyDescent="0.4">
      <c r="A15" s="12"/>
      <c r="B15" s="7"/>
      <c r="C15" s="7"/>
      <c r="D15" s="13"/>
    </row>
    <row r="17" spans="1:8" ht="16" thickBot="1" x14ac:dyDescent="0.4"/>
    <row r="18" spans="1:8" ht="22.5" thickBot="1" x14ac:dyDescent="0.7">
      <c r="A18" s="42" t="s">
        <v>1621</v>
      </c>
      <c r="B18" s="44"/>
      <c r="C18" s="44"/>
      <c r="D18" s="23"/>
      <c r="E18" s="21"/>
      <c r="F18" s="21"/>
      <c r="G18" s="1"/>
      <c r="H18" s="3"/>
    </row>
    <row r="19" spans="1:8" ht="16" thickBot="1" x14ac:dyDescent="0.4">
      <c r="A19" s="8" t="s">
        <v>1610</v>
      </c>
      <c r="B19" s="37" t="s">
        <v>1622</v>
      </c>
      <c r="C19" s="1"/>
      <c r="D19" s="3"/>
      <c r="E19" s="3"/>
      <c r="F19" s="3"/>
      <c r="G19" s="4"/>
      <c r="H19" s="3"/>
    </row>
    <row r="20" spans="1:8" ht="16" thickBot="1" x14ac:dyDescent="0.4">
      <c r="A20" s="22" t="s">
        <v>1619</v>
      </c>
      <c r="B20" s="34" t="s">
        <v>10</v>
      </c>
      <c r="C20" s="36" t="s">
        <v>17</v>
      </c>
      <c r="D20" s="3"/>
      <c r="E20" s="3"/>
      <c r="F20" s="3"/>
      <c r="G20" s="4"/>
      <c r="H20" s="3"/>
    </row>
    <row r="21" spans="1:8" x14ac:dyDescent="0.35">
      <c r="A21" s="15" t="s">
        <v>14</v>
      </c>
      <c r="B21" s="38">
        <v>121349.89940000001</v>
      </c>
      <c r="C21" s="39">
        <v>215047.9126000001</v>
      </c>
      <c r="D21" s="3"/>
      <c r="E21" s="3"/>
      <c r="F21" s="3"/>
      <c r="G21" s="4"/>
      <c r="H21" s="3"/>
    </row>
    <row r="22" spans="1:8" x14ac:dyDescent="0.35">
      <c r="A22" s="27" t="s">
        <v>34</v>
      </c>
      <c r="B22" s="40">
        <v>138685.86819999994</v>
      </c>
      <c r="C22" s="29">
        <v>254464.77940000014</v>
      </c>
      <c r="D22" s="3"/>
      <c r="E22" s="3"/>
      <c r="F22" s="3"/>
      <c r="G22" s="4"/>
      <c r="H22" s="3"/>
    </row>
    <row r="23" spans="1:8" ht="16" thickBot="1" x14ac:dyDescent="0.4">
      <c r="A23" s="11" t="s">
        <v>21</v>
      </c>
      <c r="B23" s="41">
        <v>165326.0368</v>
      </c>
      <c r="C23" s="30">
        <v>306806.99640000012</v>
      </c>
      <c r="D23" s="3"/>
      <c r="E23" s="3"/>
      <c r="F23" s="3"/>
      <c r="G23" s="4"/>
      <c r="H23" s="3"/>
    </row>
    <row r="24" spans="1:8" ht="16" thickBot="1" x14ac:dyDescent="0.4">
      <c r="A24" s="12"/>
      <c r="B24" s="7"/>
      <c r="C24" s="7"/>
      <c r="D24" s="7"/>
      <c r="E24" s="7"/>
      <c r="F24" s="7"/>
      <c r="G24" s="13"/>
      <c r="H24" s="3"/>
    </row>
    <row r="25" spans="1:8" ht="16" thickBot="1" x14ac:dyDescent="0.4"/>
    <row r="26" spans="1:8" ht="22.5" thickBot="1" x14ac:dyDescent="0.7">
      <c r="A26" s="42" t="s">
        <v>1626</v>
      </c>
      <c r="B26" s="44"/>
      <c r="C26" s="44"/>
      <c r="D26" s="44"/>
      <c r="E26" s="44"/>
      <c r="F26" s="44"/>
      <c r="G26" s="44"/>
      <c r="H26" s="45"/>
    </row>
    <row r="27" spans="1:8" ht="16" thickBot="1" x14ac:dyDescent="0.4">
      <c r="A27" s="8" t="s">
        <v>1619</v>
      </c>
      <c r="B27" s="1" t="s">
        <v>1610</v>
      </c>
      <c r="C27" s="3"/>
      <c r="D27" s="3"/>
      <c r="E27" s="3"/>
      <c r="F27" s="3"/>
      <c r="G27" s="3"/>
      <c r="H27" s="4"/>
    </row>
    <row r="28" spans="1:8" x14ac:dyDescent="0.35">
      <c r="A28" s="9" t="s">
        <v>152</v>
      </c>
      <c r="B28" s="17">
        <v>9077.869999999999</v>
      </c>
      <c r="C28" s="3"/>
      <c r="D28" s="3"/>
      <c r="E28" s="3"/>
      <c r="F28" s="3"/>
      <c r="G28" s="3"/>
      <c r="H28" s="4"/>
    </row>
    <row r="29" spans="1:8" x14ac:dyDescent="0.35">
      <c r="A29" s="9" t="s">
        <v>73</v>
      </c>
      <c r="B29" s="26">
        <v>15596.696600000001</v>
      </c>
      <c r="C29" s="3"/>
      <c r="D29" s="3"/>
      <c r="E29" s="3"/>
      <c r="F29" s="3"/>
      <c r="G29" s="3"/>
      <c r="H29" s="4"/>
    </row>
    <row r="30" spans="1:8" x14ac:dyDescent="0.35">
      <c r="A30" s="9" t="s">
        <v>158</v>
      </c>
      <c r="B30" s="26">
        <v>21880.027399999992</v>
      </c>
      <c r="C30" s="3"/>
      <c r="D30" s="3"/>
      <c r="E30" s="3"/>
      <c r="F30" s="3"/>
      <c r="G30" s="3"/>
      <c r="H30" s="4"/>
    </row>
    <row r="31" spans="1:8" x14ac:dyDescent="0.35">
      <c r="A31" s="9" t="s">
        <v>63</v>
      </c>
      <c r="B31" s="26">
        <v>22451.891599999999</v>
      </c>
      <c r="C31" s="3"/>
      <c r="D31" s="3"/>
      <c r="E31" s="3"/>
      <c r="F31" s="3"/>
      <c r="G31" s="3"/>
      <c r="H31" s="4"/>
    </row>
    <row r="32" spans="1:8" x14ac:dyDescent="0.35">
      <c r="A32" s="9" t="s">
        <v>60</v>
      </c>
      <c r="B32" s="26">
        <v>29334.680599999996</v>
      </c>
      <c r="C32" s="3"/>
      <c r="D32" s="3"/>
      <c r="E32" s="3"/>
      <c r="F32" s="3"/>
      <c r="G32" s="3"/>
      <c r="H32" s="4"/>
    </row>
    <row r="33" spans="1:9" x14ac:dyDescent="0.35">
      <c r="A33" s="9" t="s">
        <v>56</v>
      </c>
      <c r="B33" s="26">
        <v>35379.119800000015</v>
      </c>
      <c r="C33" s="3"/>
      <c r="D33" s="3"/>
      <c r="E33" s="3"/>
      <c r="F33" s="3"/>
      <c r="G33" s="3"/>
      <c r="H33" s="4"/>
    </row>
    <row r="34" spans="1:9" x14ac:dyDescent="0.35">
      <c r="A34" s="9" t="s">
        <v>32</v>
      </c>
      <c r="B34" s="26">
        <v>58514.166999999987</v>
      </c>
      <c r="C34" s="3"/>
      <c r="D34" s="3"/>
      <c r="E34" s="3"/>
      <c r="F34" s="3"/>
      <c r="G34" s="3"/>
      <c r="H34" s="4"/>
    </row>
    <row r="35" spans="1:9" x14ac:dyDescent="0.35">
      <c r="A35" s="9" t="s">
        <v>53</v>
      </c>
      <c r="B35" s="26">
        <v>59449.863799999992</v>
      </c>
      <c r="C35" s="3"/>
      <c r="D35" s="3"/>
      <c r="E35" s="3"/>
      <c r="F35" s="3"/>
      <c r="G35" s="3"/>
      <c r="H35" s="4"/>
    </row>
    <row r="36" spans="1:9" x14ac:dyDescent="0.35">
      <c r="A36" s="9" t="s">
        <v>19</v>
      </c>
      <c r="B36" s="26">
        <v>68025.838800000012</v>
      </c>
      <c r="C36" s="3"/>
      <c r="D36" s="3"/>
      <c r="E36" s="3"/>
      <c r="F36" s="3"/>
      <c r="G36" s="3"/>
      <c r="H36" s="4"/>
    </row>
    <row r="37" spans="1:9" x14ac:dyDescent="0.35">
      <c r="A37" s="9" t="s">
        <v>94</v>
      </c>
      <c r="B37" s="26">
        <v>81894.736400000009</v>
      </c>
      <c r="C37" s="3"/>
      <c r="D37" s="3"/>
      <c r="E37" s="3"/>
      <c r="F37" s="3"/>
      <c r="G37" s="3"/>
      <c r="H37" s="4"/>
    </row>
    <row r="38" spans="1:9" x14ac:dyDescent="0.35">
      <c r="A38" s="9" t="s">
        <v>28</v>
      </c>
      <c r="B38" s="26">
        <v>90706.728999999992</v>
      </c>
      <c r="C38" s="3"/>
      <c r="D38" s="3"/>
      <c r="E38" s="3"/>
      <c r="F38" s="3"/>
      <c r="G38" s="3"/>
      <c r="H38" s="4"/>
    </row>
    <row r="39" spans="1:9" x14ac:dyDescent="0.35">
      <c r="A39" s="9" t="s">
        <v>66</v>
      </c>
      <c r="B39" s="26">
        <v>101276.46159999995</v>
      </c>
      <c r="C39" s="3"/>
      <c r="D39" s="3"/>
      <c r="E39" s="3"/>
      <c r="F39" s="3"/>
      <c r="G39" s="3"/>
      <c r="H39" s="4"/>
    </row>
    <row r="40" spans="1:9" x14ac:dyDescent="0.35">
      <c r="A40" s="9" t="s">
        <v>24</v>
      </c>
      <c r="B40" s="26">
        <v>118558.88140000009</v>
      </c>
      <c r="C40" s="3"/>
      <c r="D40" s="3"/>
      <c r="E40" s="3"/>
      <c r="F40" s="3"/>
      <c r="G40" s="3"/>
      <c r="H40" s="4"/>
    </row>
    <row r="41" spans="1:9" x14ac:dyDescent="0.35">
      <c r="A41" s="9" t="s">
        <v>41</v>
      </c>
      <c r="B41" s="26">
        <v>135976.52539999998</v>
      </c>
      <c r="C41" s="3"/>
      <c r="D41" s="3"/>
      <c r="E41" s="3"/>
      <c r="F41" s="3"/>
      <c r="G41" s="3"/>
      <c r="H41" s="4"/>
    </row>
    <row r="42" spans="1:9" x14ac:dyDescent="0.35">
      <c r="A42" s="9" t="s">
        <v>47</v>
      </c>
      <c r="B42" s="26">
        <v>175433.92240000021</v>
      </c>
      <c r="C42" s="3"/>
      <c r="D42" s="3"/>
      <c r="E42" s="3"/>
      <c r="F42" s="3"/>
      <c r="G42" s="3"/>
      <c r="H42" s="4"/>
    </row>
    <row r="43" spans="1:9" ht="16" thickBot="1" x14ac:dyDescent="0.4">
      <c r="A43" s="10" t="s">
        <v>12</v>
      </c>
      <c r="B43" s="18">
        <v>178124.08099999995</v>
      </c>
      <c r="C43" s="7"/>
      <c r="D43" s="7"/>
      <c r="E43" s="7"/>
      <c r="F43" s="7"/>
      <c r="G43" s="7"/>
      <c r="H43" s="13"/>
    </row>
    <row r="44" spans="1:9" ht="16" thickBot="1" x14ac:dyDescent="0.4"/>
    <row r="45" spans="1:9" ht="22.5" thickBot="1" x14ac:dyDescent="0.7">
      <c r="A45" s="42" t="s">
        <v>1623</v>
      </c>
      <c r="B45" s="44"/>
      <c r="C45" s="44"/>
      <c r="D45" s="44"/>
      <c r="E45" s="44"/>
      <c r="F45" s="44"/>
      <c r="G45" s="44"/>
      <c r="H45" s="44"/>
      <c r="I45" s="45"/>
    </row>
    <row r="46" spans="1:9" ht="16" thickBot="1" x14ac:dyDescent="0.4">
      <c r="A46" s="14" t="s">
        <v>1619</v>
      </c>
      <c r="B46" s="16" t="s">
        <v>1610</v>
      </c>
      <c r="C46" s="3"/>
      <c r="D46" s="3"/>
      <c r="E46" s="3"/>
      <c r="F46" s="3"/>
      <c r="G46" s="3"/>
      <c r="H46" s="3"/>
      <c r="I46" s="4"/>
    </row>
    <row r="47" spans="1:9" x14ac:dyDescent="0.35">
      <c r="A47" s="15">
        <v>2011</v>
      </c>
      <c r="B47" s="17">
        <v>78131.566599999976</v>
      </c>
      <c r="C47" s="3"/>
      <c r="D47" s="3"/>
      <c r="E47" s="3"/>
      <c r="F47" s="3"/>
      <c r="G47" s="3"/>
      <c r="H47" s="3"/>
      <c r="I47" s="4"/>
    </row>
    <row r="48" spans="1:9" x14ac:dyDescent="0.35">
      <c r="A48" s="27">
        <v>2012</v>
      </c>
      <c r="B48" s="26">
        <v>130476.85979999998</v>
      </c>
      <c r="C48" s="3"/>
      <c r="D48" s="3"/>
      <c r="E48" s="3"/>
      <c r="F48" s="3"/>
      <c r="G48" s="3"/>
      <c r="H48" s="3"/>
      <c r="I48" s="4"/>
    </row>
    <row r="49" spans="1:9" x14ac:dyDescent="0.35">
      <c r="A49" s="27">
        <v>2014</v>
      </c>
      <c r="B49" s="26">
        <v>131809.01560000007</v>
      </c>
      <c r="C49" s="3"/>
      <c r="D49" s="3"/>
      <c r="E49" s="3"/>
      <c r="F49" s="3"/>
      <c r="G49" s="3"/>
      <c r="H49" s="3"/>
      <c r="I49" s="4"/>
    </row>
    <row r="50" spans="1:9" x14ac:dyDescent="0.35">
      <c r="A50" s="27">
        <v>2015</v>
      </c>
      <c r="B50" s="26">
        <v>130942.78019999999</v>
      </c>
      <c r="C50" s="3"/>
      <c r="D50" s="3"/>
      <c r="E50" s="3"/>
      <c r="F50" s="3"/>
      <c r="G50" s="3"/>
      <c r="H50" s="3"/>
      <c r="I50" s="4"/>
    </row>
    <row r="51" spans="1:9" x14ac:dyDescent="0.35">
      <c r="A51" s="27">
        <v>2016</v>
      </c>
      <c r="B51" s="26">
        <v>132113.36980000007</v>
      </c>
      <c r="C51" s="3"/>
      <c r="D51" s="3"/>
      <c r="E51" s="3"/>
      <c r="F51" s="3"/>
      <c r="G51" s="3"/>
      <c r="H51" s="3"/>
      <c r="I51" s="4"/>
    </row>
    <row r="52" spans="1:9" x14ac:dyDescent="0.35">
      <c r="A52" s="27">
        <v>2017</v>
      </c>
      <c r="B52" s="26">
        <v>133103.90699999989</v>
      </c>
      <c r="C52" s="3"/>
      <c r="D52" s="3"/>
      <c r="E52" s="3"/>
      <c r="F52" s="3"/>
      <c r="G52" s="3"/>
      <c r="H52" s="3"/>
      <c r="I52" s="4"/>
    </row>
    <row r="53" spans="1:9" x14ac:dyDescent="0.35">
      <c r="A53" s="27">
        <v>2018</v>
      </c>
      <c r="B53" s="26">
        <v>204522.25700000025</v>
      </c>
      <c r="C53" s="3"/>
      <c r="D53" s="3"/>
      <c r="E53" s="3"/>
      <c r="F53" s="3"/>
      <c r="G53" s="3"/>
      <c r="H53" s="3"/>
      <c r="I53" s="4"/>
    </row>
    <row r="54" spans="1:9" x14ac:dyDescent="0.35">
      <c r="A54" s="27">
        <v>2020</v>
      </c>
      <c r="B54" s="26">
        <v>129103.96039999987</v>
      </c>
      <c r="C54" s="3"/>
      <c r="D54" s="3"/>
      <c r="E54" s="3"/>
      <c r="F54" s="3"/>
      <c r="G54" s="3"/>
      <c r="H54" s="3"/>
      <c r="I54" s="4"/>
    </row>
    <row r="55" spans="1:9" ht="16" thickBot="1" x14ac:dyDescent="0.4">
      <c r="A55" s="11">
        <v>2022</v>
      </c>
      <c r="B55" s="18">
        <v>131477.77639999994</v>
      </c>
      <c r="C55" s="7"/>
      <c r="D55" s="7"/>
      <c r="E55" s="7"/>
      <c r="F55" s="7"/>
      <c r="G55" s="7"/>
      <c r="H55" s="7"/>
      <c r="I55" s="13"/>
    </row>
    <row r="57" spans="1:9" ht="16" thickBot="1" x14ac:dyDescent="0.4"/>
    <row r="58" spans="1:9" ht="22.5" thickBot="1" x14ac:dyDescent="0.7">
      <c r="A58" s="42" t="s">
        <v>1627</v>
      </c>
      <c r="B58" s="44"/>
      <c r="C58" s="44"/>
      <c r="D58" s="44"/>
      <c r="E58" s="44"/>
      <c r="F58" s="45"/>
    </row>
    <row r="59" spans="1:9" ht="16" thickBot="1" x14ac:dyDescent="0.4">
      <c r="A59" s="14" t="s">
        <v>1619</v>
      </c>
      <c r="B59" s="16" t="s">
        <v>1610</v>
      </c>
      <c r="C59" s="3"/>
      <c r="D59" s="3"/>
      <c r="E59" s="3"/>
      <c r="F59" s="4"/>
    </row>
    <row r="60" spans="1:9" x14ac:dyDescent="0.35">
      <c r="A60" s="15" t="s">
        <v>30</v>
      </c>
      <c r="B60" s="17">
        <v>248991.58600000024</v>
      </c>
      <c r="C60" s="3"/>
      <c r="D60" s="3"/>
      <c r="E60" s="3"/>
      <c r="F60" s="4"/>
    </row>
    <row r="61" spans="1:9" x14ac:dyDescent="0.35">
      <c r="A61" s="27" t="s">
        <v>15</v>
      </c>
      <c r="B61" s="26">
        <v>507895.7363999993</v>
      </c>
      <c r="C61" s="3"/>
      <c r="D61" s="3"/>
      <c r="E61" s="3"/>
      <c r="F61" s="4"/>
    </row>
    <row r="62" spans="1:9" ht="16" thickBot="1" x14ac:dyDescent="0.4">
      <c r="A62" s="11" t="s">
        <v>26</v>
      </c>
      <c r="B62" s="18">
        <v>444794.17039999936</v>
      </c>
      <c r="C62" s="3"/>
      <c r="D62" s="3"/>
      <c r="E62" s="3"/>
      <c r="F62" s="4"/>
    </row>
    <row r="63" spans="1:9" x14ac:dyDescent="0.35">
      <c r="A63" s="2"/>
      <c r="B63" s="3"/>
      <c r="C63" s="3"/>
      <c r="D63" s="3"/>
      <c r="E63" s="3"/>
      <c r="F63" s="4"/>
    </row>
    <row r="64" spans="1:9" x14ac:dyDescent="0.35">
      <c r="A64" s="2"/>
      <c r="B64" s="3"/>
      <c r="C64" s="3"/>
      <c r="D64" s="3"/>
      <c r="E64" s="3"/>
      <c r="F64" s="4"/>
    </row>
    <row r="65" spans="1:7" x14ac:dyDescent="0.35">
      <c r="A65" s="2"/>
      <c r="B65" s="3"/>
      <c r="C65" s="3"/>
      <c r="D65" s="3"/>
      <c r="E65" s="3"/>
      <c r="F65" s="4"/>
    </row>
    <row r="66" spans="1:7" x14ac:dyDescent="0.35">
      <c r="A66" s="2"/>
      <c r="B66" s="3"/>
      <c r="C66" s="3"/>
      <c r="D66" s="3"/>
      <c r="E66" s="3"/>
      <c r="F66" s="4"/>
    </row>
    <row r="67" spans="1:7" x14ac:dyDescent="0.35">
      <c r="A67" s="2"/>
      <c r="B67" s="3"/>
      <c r="C67" s="3"/>
      <c r="D67" s="3"/>
      <c r="E67" s="3"/>
      <c r="F67" s="4"/>
    </row>
    <row r="68" spans="1:7" x14ac:dyDescent="0.35">
      <c r="A68" s="2"/>
      <c r="B68" s="3"/>
      <c r="C68" s="3"/>
      <c r="D68" s="3"/>
      <c r="E68" s="3"/>
      <c r="F68" s="4"/>
    </row>
    <row r="69" spans="1:7" ht="16" thickBot="1" x14ac:dyDescent="0.4">
      <c r="A69" s="12"/>
      <c r="B69" s="7"/>
      <c r="C69" s="7"/>
      <c r="D69" s="7"/>
      <c r="E69" s="7"/>
      <c r="F69" s="13"/>
    </row>
    <row r="71" spans="1:7" ht="16" thickBot="1" x14ac:dyDescent="0.4"/>
    <row r="72" spans="1:7" ht="22.5" thickBot="1" x14ac:dyDescent="0.7">
      <c r="A72" s="42" t="s">
        <v>1628</v>
      </c>
      <c r="B72" s="44"/>
      <c r="C72" s="44"/>
      <c r="D72" s="44"/>
      <c r="E72" s="44"/>
      <c r="F72" s="44"/>
      <c r="G72" s="45"/>
    </row>
    <row r="73" spans="1:7" ht="16" thickBot="1" x14ac:dyDescent="0.4">
      <c r="A73" s="14" t="s">
        <v>1619</v>
      </c>
      <c r="B73" s="16" t="s">
        <v>1610</v>
      </c>
      <c r="C73" s="3"/>
      <c r="D73" s="3"/>
      <c r="E73" s="3"/>
      <c r="F73" s="3"/>
      <c r="G73" s="4"/>
    </row>
    <row r="74" spans="1:7" x14ac:dyDescent="0.35">
      <c r="A74" s="15" t="s">
        <v>14</v>
      </c>
      <c r="B74" s="17">
        <v>336397.81199999945</v>
      </c>
      <c r="C74" s="3"/>
      <c r="D74" s="3"/>
      <c r="E74" s="3"/>
      <c r="F74" s="3"/>
      <c r="G74" s="4"/>
    </row>
    <row r="75" spans="1:7" x14ac:dyDescent="0.35">
      <c r="A75" s="27" t="s">
        <v>34</v>
      </c>
      <c r="B75" s="26">
        <v>393150.64759999956</v>
      </c>
      <c r="C75" s="3"/>
      <c r="D75" s="3"/>
      <c r="E75" s="3"/>
      <c r="F75" s="3"/>
      <c r="G75" s="4"/>
    </row>
    <row r="76" spans="1:7" ht="16" thickBot="1" x14ac:dyDescent="0.4">
      <c r="A76" s="11" t="s">
        <v>21</v>
      </c>
      <c r="B76" s="18">
        <v>472133.03319999954</v>
      </c>
      <c r="C76" s="3"/>
      <c r="D76" s="3"/>
      <c r="E76" s="3"/>
      <c r="F76" s="3"/>
      <c r="G76" s="4"/>
    </row>
    <row r="77" spans="1:7" x14ac:dyDescent="0.35">
      <c r="A77" s="2"/>
      <c r="B77" s="3"/>
      <c r="C77" s="3"/>
      <c r="D77" s="3"/>
      <c r="E77" s="3"/>
      <c r="F77" s="3"/>
      <c r="G77" s="4"/>
    </row>
    <row r="78" spans="1:7" x14ac:dyDescent="0.35">
      <c r="A78" s="2"/>
      <c r="B78" s="3"/>
      <c r="C78" s="3"/>
      <c r="D78" s="3"/>
      <c r="E78" s="3"/>
      <c r="F78" s="3"/>
      <c r="G78" s="4"/>
    </row>
    <row r="79" spans="1:7" x14ac:dyDescent="0.35">
      <c r="A79" s="2"/>
      <c r="B79" s="3"/>
      <c r="C79" s="3"/>
      <c r="D79" s="3"/>
      <c r="E79" s="3"/>
      <c r="F79" s="3"/>
      <c r="G79" s="4"/>
    </row>
    <row r="80" spans="1:7" x14ac:dyDescent="0.35">
      <c r="A80" s="2"/>
      <c r="B80" s="3"/>
      <c r="C80" s="3"/>
      <c r="D80" s="3"/>
      <c r="E80" s="3"/>
      <c r="F80" s="3"/>
      <c r="G80" s="4"/>
    </row>
    <row r="81" spans="1:7" ht="16" thickBot="1" x14ac:dyDescent="0.4">
      <c r="A81" s="12"/>
      <c r="B81" s="7"/>
      <c r="C81" s="7"/>
      <c r="D81" s="7"/>
      <c r="E81" s="7"/>
      <c r="F81" s="7"/>
      <c r="G81" s="13"/>
    </row>
    <row r="85" spans="1:7" ht="16" thickBot="1" x14ac:dyDescent="0.4"/>
    <row r="86" spans="1:7" ht="22.5" thickBot="1" x14ac:dyDescent="0.7">
      <c r="A86" s="42" t="s">
        <v>1625</v>
      </c>
      <c r="B86" s="28"/>
      <c r="C86" s="28"/>
      <c r="D86" s="28"/>
      <c r="E86" s="28"/>
      <c r="F86" s="43"/>
    </row>
    <row r="87" spans="1:7" ht="16" thickBot="1" x14ac:dyDescent="0.4">
      <c r="A87" s="14" t="s">
        <v>1619</v>
      </c>
      <c r="B87" s="16" t="s">
        <v>1610</v>
      </c>
      <c r="C87" s="3"/>
      <c r="D87" s="3"/>
      <c r="E87" s="3"/>
      <c r="F87" s="4"/>
    </row>
    <row r="88" spans="1:7" x14ac:dyDescent="0.35">
      <c r="A88" s="15" t="s">
        <v>45</v>
      </c>
      <c r="B88" s="17">
        <v>130714.67460000006</v>
      </c>
      <c r="C88" s="3"/>
      <c r="D88" s="3"/>
      <c r="E88" s="3"/>
      <c r="F88" s="4"/>
    </row>
    <row r="89" spans="1:7" x14ac:dyDescent="0.35">
      <c r="A89" s="27" t="s">
        <v>22</v>
      </c>
      <c r="B89" s="26">
        <v>131477.77639999994</v>
      </c>
      <c r="C89" s="3"/>
      <c r="D89" s="3"/>
      <c r="E89" s="3"/>
      <c r="F89" s="4"/>
    </row>
    <row r="90" spans="1:7" x14ac:dyDescent="0.35">
      <c r="A90" s="27" t="s">
        <v>39</v>
      </c>
      <c r="B90" s="26">
        <v>151939.149</v>
      </c>
      <c r="C90" s="3"/>
      <c r="D90" s="3"/>
      <c r="E90" s="3"/>
      <c r="F90" s="4"/>
    </row>
    <row r="91" spans="1:7" ht="16" thickBot="1" x14ac:dyDescent="0.4">
      <c r="A91" s="11" t="s">
        <v>16</v>
      </c>
      <c r="B91" s="18">
        <v>787549.89280000131</v>
      </c>
      <c r="C91" s="3"/>
      <c r="D91" s="3"/>
      <c r="E91" s="3"/>
      <c r="F91" s="4"/>
    </row>
    <row r="92" spans="1:7" x14ac:dyDescent="0.35">
      <c r="A92" s="2"/>
      <c r="B92" s="3"/>
      <c r="C92" s="3"/>
      <c r="D92" s="3"/>
      <c r="E92" s="3"/>
      <c r="F92" s="4"/>
    </row>
    <row r="93" spans="1:7" x14ac:dyDescent="0.35">
      <c r="A93" s="2"/>
      <c r="B93" s="3"/>
      <c r="C93" s="3"/>
      <c r="D93" s="3"/>
      <c r="E93" s="3"/>
      <c r="F93" s="4"/>
    </row>
    <row r="94" spans="1:7" ht="16" thickBot="1" x14ac:dyDescent="0.4">
      <c r="A94" s="2"/>
      <c r="B94" s="3"/>
      <c r="C94" s="3"/>
      <c r="D94" s="3"/>
      <c r="E94" s="3"/>
      <c r="F94" s="4"/>
    </row>
    <row r="95" spans="1:7" ht="16" thickBot="1" x14ac:dyDescent="0.4">
      <c r="A95" s="14" t="s">
        <v>1619</v>
      </c>
      <c r="B95" s="16" t="s">
        <v>1624</v>
      </c>
      <c r="C95" s="3"/>
      <c r="D95" s="3"/>
      <c r="E95" s="3"/>
      <c r="F95" s="4"/>
    </row>
    <row r="96" spans="1:7" x14ac:dyDescent="0.35">
      <c r="A96" s="15" t="s">
        <v>39</v>
      </c>
      <c r="B96" s="17">
        <v>140.29468975069253</v>
      </c>
      <c r="C96" s="3"/>
      <c r="D96" s="3"/>
      <c r="E96" s="3"/>
      <c r="F96" s="4"/>
    </row>
    <row r="97" spans="1:6" x14ac:dyDescent="0.35">
      <c r="A97" s="27" t="s">
        <v>16</v>
      </c>
      <c r="B97" s="26">
        <v>141.21389506903375</v>
      </c>
      <c r="C97" s="3"/>
      <c r="D97" s="3"/>
      <c r="E97" s="3"/>
      <c r="F97" s="4"/>
    </row>
    <row r="98" spans="1:6" x14ac:dyDescent="0.35">
      <c r="A98" s="27" t="s">
        <v>22</v>
      </c>
      <c r="B98" s="26">
        <v>141.67863836206891</v>
      </c>
      <c r="C98" s="3"/>
      <c r="D98" s="3"/>
      <c r="E98" s="3"/>
      <c r="F98" s="4"/>
    </row>
    <row r="99" spans="1:6" ht="16" thickBot="1" x14ac:dyDescent="0.4">
      <c r="A99" s="11" t="s">
        <v>45</v>
      </c>
      <c r="B99" s="18">
        <v>139.80179101604284</v>
      </c>
      <c r="C99" s="3"/>
      <c r="D99" s="3"/>
      <c r="E99" s="3"/>
      <c r="F99" s="4"/>
    </row>
    <row r="100" spans="1:6" x14ac:dyDescent="0.35">
      <c r="A100" s="2"/>
      <c r="B100" s="3"/>
      <c r="C100" s="3"/>
      <c r="D100" s="3"/>
      <c r="E100" s="3"/>
      <c r="F100" s="4"/>
    </row>
    <row r="101" spans="1:6" x14ac:dyDescent="0.35">
      <c r="A101" s="2"/>
      <c r="B101" s="3"/>
      <c r="C101" s="3"/>
      <c r="D101" s="3"/>
      <c r="E101" s="3"/>
      <c r="F101" s="4"/>
    </row>
    <row r="102" spans="1:6" x14ac:dyDescent="0.35">
      <c r="A102" s="2"/>
      <c r="B102" s="3"/>
      <c r="C102" s="3"/>
      <c r="D102" s="3"/>
      <c r="E102" s="3"/>
      <c r="F102" s="4"/>
    </row>
    <row r="103" spans="1:6" x14ac:dyDescent="0.35">
      <c r="A103" s="2"/>
      <c r="B103" s="3"/>
      <c r="C103" s="3"/>
      <c r="D103" s="3"/>
      <c r="E103" s="3"/>
      <c r="F103" s="4"/>
    </row>
    <row r="104" spans="1:6" x14ac:dyDescent="0.35">
      <c r="A104" s="2"/>
      <c r="B104" s="3"/>
      <c r="C104" s="3"/>
      <c r="D104" s="3"/>
      <c r="E104" s="3"/>
      <c r="F104" s="4"/>
    </row>
    <row r="105" spans="1:6" x14ac:dyDescent="0.35">
      <c r="A105" s="2"/>
      <c r="B105" s="3"/>
      <c r="C105" s="3"/>
      <c r="D105" s="3"/>
      <c r="E105" s="3"/>
      <c r="F105" s="4"/>
    </row>
    <row r="106" spans="1:6" x14ac:dyDescent="0.35">
      <c r="A106" s="2"/>
      <c r="B106" s="3"/>
      <c r="C106" s="3"/>
      <c r="D106" s="3"/>
      <c r="E106" s="3"/>
      <c r="F106" s="4"/>
    </row>
    <row r="107" spans="1:6" ht="16" thickBot="1" x14ac:dyDescent="0.4">
      <c r="A107" s="2"/>
      <c r="B107" s="3"/>
      <c r="C107" s="3"/>
      <c r="D107" s="3"/>
      <c r="E107" s="3"/>
      <c r="F107" s="4"/>
    </row>
    <row r="108" spans="1:6" ht="16" thickBot="1" x14ac:dyDescent="0.4">
      <c r="A108" s="8" t="s">
        <v>1619</v>
      </c>
      <c r="B108" s="16" t="s">
        <v>1612</v>
      </c>
      <c r="C108" s="3"/>
      <c r="D108" s="3"/>
      <c r="E108" s="3"/>
      <c r="F108" s="4"/>
    </row>
    <row r="109" spans="1:6" x14ac:dyDescent="0.35">
      <c r="A109" s="9" t="s">
        <v>22</v>
      </c>
      <c r="B109" s="17">
        <v>928</v>
      </c>
      <c r="C109" s="3"/>
      <c r="D109" s="3"/>
      <c r="E109" s="3"/>
      <c r="F109" s="4"/>
    </row>
    <row r="110" spans="1:6" x14ac:dyDescent="0.35">
      <c r="A110" s="9" t="s">
        <v>45</v>
      </c>
      <c r="B110" s="26">
        <v>935</v>
      </c>
      <c r="C110" s="3"/>
      <c r="D110" s="3"/>
      <c r="E110" s="3"/>
      <c r="F110" s="4"/>
    </row>
    <row r="111" spans="1:6" x14ac:dyDescent="0.35">
      <c r="A111" s="9" t="s">
        <v>39</v>
      </c>
      <c r="B111" s="26">
        <v>1083</v>
      </c>
      <c r="C111" s="3"/>
      <c r="D111" s="3"/>
      <c r="E111" s="3"/>
      <c r="F111" s="4"/>
    </row>
    <row r="112" spans="1:6" ht="16" thickBot="1" x14ac:dyDescent="0.4">
      <c r="A112" s="10" t="s">
        <v>16</v>
      </c>
      <c r="B112" s="18">
        <v>5577</v>
      </c>
      <c r="C112" s="3"/>
      <c r="D112" s="3"/>
      <c r="E112" s="3"/>
      <c r="F112" s="4"/>
    </row>
    <row r="113" spans="1:6" x14ac:dyDescent="0.35">
      <c r="A113" s="2"/>
      <c r="B113" s="3"/>
      <c r="C113" s="3"/>
      <c r="D113" s="3"/>
      <c r="E113" s="3"/>
      <c r="F113" s="4"/>
    </row>
    <row r="114" spans="1:6" x14ac:dyDescent="0.35">
      <c r="A114" s="2"/>
      <c r="B114" s="3"/>
      <c r="C114" s="3"/>
      <c r="D114" s="3"/>
      <c r="E114" s="3"/>
      <c r="F114" s="4"/>
    </row>
    <row r="115" spans="1:6" x14ac:dyDescent="0.35">
      <c r="A115" s="2"/>
      <c r="B115" s="3"/>
      <c r="C115" s="3"/>
      <c r="D115" s="3"/>
      <c r="E115" s="3"/>
      <c r="F115" s="4"/>
    </row>
    <row r="116" spans="1:6" ht="16" thickBot="1" x14ac:dyDescent="0.4">
      <c r="A116" s="12"/>
      <c r="B116" s="7"/>
      <c r="C116" s="7"/>
      <c r="D116" s="7"/>
      <c r="E116" s="7"/>
      <c r="F116" s="13"/>
    </row>
    <row r="5956" ht="16" thickBot="1" x14ac:dyDescent="0.4"/>
  </sheetData>
  <mergeCells count="9">
    <mergeCell ref="A86:F86"/>
    <mergeCell ref="A26:H26"/>
    <mergeCell ref="A72:G72"/>
    <mergeCell ref="A45:I45"/>
    <mergeCell ref="A10:B10"/>
    <mergeCell ref="A18:C18"/>
    <mergeCell ref="A58:F58"/>
    <mergeCell ref="A2:B2"/>
    <mergeCell ref="C2:D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showGridLines="0" tabSelected="1" zoomScale="85" zoomScaleNormal="85" workbookViewId="0">
      <selection activeCell="J30" sqref="J30"/>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8524"/>
  <sheetViews>
    <sheetView topLeftCell="E1" workbookViewId="0">
      <selection activeCell="L2" sqref="L2"/>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1608</v>
      </c>
      <c r="C1" t="s">
        <v>1</v>
      </c>
      <c r="D1" t="s">
        <v>2</v>
      </c>
      <c r="E1" t="s">
        <v>1607</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17</v>
      </c>
      <c r="B7">
        <v>6</v>
      </c>
      <c r="C7" t="s">
        <v>35</v>
      </c>
      <c r="D7" t="s">
        <v>24</v>
      </c>
      <c r="E7">
        <v>2020</v>
      </c>
      <c r="F7" t="s">
        <v>36</v>
      </c>
      <c r="G7" t="s">
        <v>34</v>
      </c>
      <c r="H7" t="s">
        <v>26</v>
      </c>
      <c r="I7" t="s">
        <v>16</v>
      </c>
      <c r="J7">
        <v>5.5054809999999996E-3</v>
      </c>
      <c r="K7">
        <v>8.89</v>
      </c>
      <c r="L7">
        <v>102.4016</v>
      </c>
      <c r="M7">
        <v>5</v>
      </c>
    </row>
    <row r="8" spans="1:13" x14ac:dyDescent="0.35">
      <c r="A8" t="s">
        <v>17</v>
      </c>
      <c r="B8">
        <v>7</v>
      </c>
      <c r="C8" t="s">
        <v>37</v>
      </c>
      <c r="D8" t="s">
        <v>19</v>
      </c>
      <c r="E8">
        <v>2011</v>
      </c>
      <c r="F8" t="s">
        <v>38</v>
      </c>
      <c r="G8" t="s">
        <v>21</v>
      </c>
      <c r="H8" t="s">
        <v>26</v>
      </c>
      <c r="I8" t="s">
        <v>39</v>
      </c>
      <c r="J8">
        <v>9.8312420999999997E-2</v>
      </c>
      <c r="K8">
        <v>11.8</v>
      </c>
      <c r="L8">
        <v>81.461799999999997</v>
      </c>
      <c r="M8">
        <v>5</v>
      </c>
    </row>
    <row r="9" spans="1:13" x14ac:dyDescent="0.35">
      <c r="A9" t="s">
        <v>17</v>
      </c>
      <c r="B9">
        <v>8</v>
      </c>
      <c r="C9" t="s">
        <v>40</v>
      </c>
      <c r="D9" t="s">
        <v>41</v>
      </c>
      <c r="E9">
        <v>2015</v>
      </c>
      <c r="F9" t="s">
        <v>33</v>
      </c>
      <c r="G9" t="s">
        <v>34</v>
      </c>
      <c r="H9" t="s">
        <v>26</v>
      </c>
      <c r="I9" t="s">
        <v>16</v>
      </c>
      <c r="J9">
        <v>2.6903713999999999E-2</v>
      </c>
      <c r="K9">
        <v>19.7</v>
      </c>
      <c r="L9">
        <v>96.072599999999994</v>
      </c>
      <c r="M9">
        <v>5</v>
      </c>
    </row>
    <row r="10" spans="1:13" x14ac:dyDescent="0.35">
      <c r="A10" t="s">
        <v>17</v>
      </c>
      <c r="B10">
        <v>9</v>
      </c>
      <c r="C10" t="s">
        <v>42</v>
      </c>
      <c r="D10" t="s">
        <v>12</v>
      </c>
      <c r="E10">
        <v>2014</v>
      </c>
      <c r="F10" t="s">
        <v>29</v>
      </c>
      <c r="G10" t="s">
        <v>21</v>
      </c>
      <c r="H10" t="s">
        <v>30</v>
      </c>
      <c r="I10" t="s">
        <v>16</v>
      </c>
      <c r="J10">
        <v>2.4129332E-2</v>
      </c>
      <c r="K10">
        <v>20.75</v>
      </c>
      <c r="L10">
        <v>124.173</v>
      </c>
      <c r="M10">
        <v>5</v>
      </c>
    </row>
    <row r="11" spans="1:13" x14ac:dyDescent="0.35">
      <c r="A11" t="s">
        <v>17</v>
      </c>
      <c r="B11">
        <v>10</v>
      </c>
      <c r="C11" t="s">
        <v>43</v>
      </c>
      <c r="D11" t="s">
        <v>28</v>
      </c>
      <c r="E11">
        <v>2018</v>
      </c>
      <c r="F11" t="s">
        <v>44</v>
      </c>
      <c r="G11" t="s">
        <v>21</v>
      </c>
      <c r="H11" t="s">
        <v>15</v>
      </c>
      <c r="I11" t="s">
        <v>45</v>
      </c>
      <c r="J11">
        <v>0.101561568</v>
      </c>
      <c r="L11">
        <v>181.92920000000001</v>
      </c>
      <c r="M11">
        <v>5</v>
      </c>
    </row>
    <row r="12" spans="1:13" x14ac:dyDescent="0.35">
      <c r="A12" t="s">
        <v>17</v>
      </c>
      <c r="B12">
        <v>11</v>
      </c>
      <c r="C12" t="s">
        <v>46</v>
      </c>
      <c r="D12" t="s">
        <v>47</v>
      </c>
      <c r="E12">
        <v>2018</v>
      </c>
      <c r="F12" t="s">
        <v>44</v>
      </c>
      <c r="G12" t="s">
        <v>21</v>
      </c>
      <c r="H12" t="s">
        <v>15</v>
      </c>
      <c r="I12" t="s">
        <v>45</v>
      </c>
      <c r="J12">
        <v>8.4554568999999996E-2</v>
      </c>
      <c r="L12">
        <v>109.8912</v>
      </c>
      <c r="M12">
        <v>5</v>
      </c>
    </row>
    <row r="13" spans="1:13" x14ac:dyDescent="0.3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v>15</v>
      </c>
      <c r="C16" t="s">
        <v>52</v>
      </c>
      <c r="D16" t="s">
        <v>53</v>
      </c>
      <c r="E16">
        <v>2018</v>
      </c>
      <c r="F16" t="s">
        <v>44</v>
      </c>
      <c r="G16" t="s">
        <v>21</v>
      </c>
      <c r="H16" t="s">
        <v>15</v>
      </c>
      <c r="I16" t="s">
        <v>45</v>
      </c>
      <c r="J16">
        <v>3.2928239999999998E-2</v>
      </c>
      <c r="L16">
        <v>173.1738</v>
      </c>
      <c r="M16">
        <v>5</v>
      </c>
    </row>
    <row r="17" spans="1:13" x14ac:dyDescent="0.35">
      <c r="A17" t="s">
        <v>10</v>
      </c>
      <c r="B17">
        <v>16</v>
      </c>
      <c r="C17" t="s">
        <v>54</v>
      </c>
      <c r="D17" t="s">
        <v>12</v>
      </c>
      <c r="E17">
        <v>2017</v>
      </c>
      <c r="F17" t="s">
        <v>49</v>
      </c>
      <c r="G17" t="s">
        <v>34</v>
      </c>
      <c r="H17" t="s">
        <v>26</v>
      </c>
      <c r="I17" t="s">
        <v>16</v>
      </c>
      <c r="J17">
        <v>1.8801549000000001E-2</v>
      </c>
      <c r="K17">
        <v>20.25</v>
      </c>
      <c r="L17">
        <v>222.1772</v>
      </c>
      <c r="M17">
        <v>5</v>
      </c>
    </row>
    <row r="18" spans="1:13" x14ac:dyDescent="0.3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v>18</v>
      </c>
      <c r="C19" t="s">
        <v>57</v>
      </c>
      <c r="D19" t="s">
        <v>41</v>
      </c>
      <c r="E19">
        <v>2012</v>
      </c>
      <c r="F19" t="s">
        <v>13</v>
      </c>
      <c r="G19" t="s">
        <v>14</v>
      </c>
      <c r="H19" t="s">
        <v>15</v>
      </c>
      <c r="I19" t="s">
        <v>16</v>
      </c>
      <c r="J19">
        <v>7.7628053000000002E-2</v>
      </c>
      <c r="K19">
        <v>19.2</v>
      </c>
      <c r="L19">
        <v>197.61099999999999</v>
      </c>
      <c r="M19">
        <v>5</v>
      </c>
    </row>
    <row r="20" spans="1:13" x14ac:dyDescent="0.35">
      <c r="A20" t="s">
        <v>17</v>
      </c>
      <c r="B20">
        <v>19</v>
      </c>
      <c r="C20" t="s">
        <v>58</v>
      </c>
      <c r="D20" t="s">
        <v>12</v>
      </c>
      <c r="E20">
        <v>2018</v>
      </c>
      <c r="F20" t="s">
        <v>44</v>
      </c>
      <c r="G20" t="s">
        <v>21</v>
      </c>
      <c r="H20" t="s">
        <v>15</v>
      </c>
      <c r="I20" t="s">
        <v>45</v>
      </c>
      <c r="J20">
        <v>0.18251488099999999</v>
      </c>
      <c r="L20">
        <v>98.77</v>
      </c>
      <c r="M20">
        <v>5</v>
      </c>
    </row>
    <row r="21" spans="1:13" x14ac:dyDescent="0.35">
      <c r="A21" t="s">
        <v>17</v>
      </c>
      <c r="B21">
        <v>20</v>
      </c>
      <c r="C21" t="s">
        <v>59</v>
      </c>
      <c r="D21" t="s">
        <v>60</v>
      </c>
      <c r="E21">
        <v>2022</v>
      </c>
      <c r="F21" t="s">
        <v>20</v>
      </c>
      <c r="G21" t="s">
        <v>21</v>
      </c>
      <c r="H21" t="s">
        <v>15</v>
      </c>
      <c r="I21" t="s">
        <v>22</v>
      </c>
      <c r="J21">
        <v>1.6895292999999999E-2</v>
      </c>
      <c r="K21">
        <v>12.1</v>
      </c>
      <c r="L21">
        <v>178.566</v>
      </c>
      <c r="M21">
        <v>5</v>
      </c>
    </row>
    <row r="22" spans="1:13" x14ac:dyDescent="0.35">
      <c r="A22" t="s">
        <v>10</v>
      </c>
      <c r="B22">
        <v>21</v>
      </c>
      <c r="C22" t="s">
        <v>61</v>
      </c>
      <c r="D22" t="s">
        <v>12</v>
      </c>
      <c r="E22">
        <v>2018</v>
      </c>
      <c r="F22" t="s">
        <v>44</v>
      </c>
      <c r="G22" t="s">
        <v>21</v>
      </c>
      <c r="H22" t="s">
        <v>15</v>
      </c>
      <c r="I22" t="s">
        <v>45</v>
      </c>
      <c r="J22">
        <v>0</v>
      </c>
      <c r="L22">
        <v>60.2194</v>
      </c>
      <c r="M22">
        <v>5</v>
      </c>
    </row>
    <row r="23" spans="1:13" x14ac:dyDescent="0.35">
      <c r="A23" t="s">
        <v>17</v>
      </c>
      <c r="B23">
        <v>22</v>
      </c>
      <c r="C23" t="s">
        <v>62</v>
      </c>
      <c r="D23" t="s">
        <v>63</v>
      </c>
      <c r="E23">
        <v>2018</v>
      </c>
      <c r="F23" t="s">
        <v>44</v>
      </c>
      <c r="G23" t="s">
        <v>21</v>
      </c>
      <c r="H23" t="s">
        <v>15</v>
      </c>
      <c r="I23" t="s">
        <v>45</v>
      </c>
      <c r="J23">
        <v>2.6916794000000001E-2</v>
      </c>
      <c r="L23">
        <v>50.9666</v>
      </c>
      <c r="M23">
        <v>5</v>
      </c>
    </row>
    <row r="24" spans="1:13" x14ac:dyDescent="0.35">
      <c r="A24" t="s">
        <v>17</v>
      </c>
      <c r="B24">
        <v>23</v>
      </c>
      <c r="C24" t="s">
        <v>64</v>
      </c>
      <c r="D24" t="s">
        <v>24</v>
      </c>
      <c r="E24">
        <v>2022</v>
      </c>
      <c r="F24" t="s">
        <v>20</v>
      </c>
      <c r="G24" t="s">
        <v>21</v>
      </c>
      <c r="H24" t="s">
        <v>15</v>
      </c>
      <c r="I24" t="s">
        <v>22</v>
      </c>
      <c r="J24">
        <v>2.2976496999999999E-2</v>
      </c>
      <c r="K24">
        <v>6.85</v>
      </c>
      <c r="L24">
        <v>261.65940000000001</v>
      </c>
      <c r="M24">
        <v>5</v>
      </c>
    </row>
    <row r="25" spans="1:13" x14ac:dyDescent="0.35">
      <c r="A25" t="s">
        <v>17</v>
      </c>
      <c r="B25">
        <v>24</v>
      </c>
      <c r="C25" t="s">
        <v>65</v>
      </c>
      <c r="D25" t="s">
        <v>66</v>
      </c>
      <c r="E25">
        <v>2022</v>
      </c>
      <c r="F25" t="s">
        <v>20</v>
      </c>
      <c r="G25" t="s">
        <v>21</v>
      </c>
      <c r="H25" t="s">
        <v>15</v>
      </c>
      <c r="I25" t="s">
        <v>22</v>
      </c>
      <c r="J25">
        <v>4.2413704000000003E-2</v>
      </c>
      <c r="K25">
        <v>17.25</v>
      </c>
      <c r="L25">
        <v>173.1764</v>
      </c>
      <c r="M25">
        <v>5</v>
      </c>
    </row>
    <row r="26" spans="1:13" x14ac:dyDescent="0.35">
      <c r="A26" t="s">
        <v>10</v>
      </c>
      <c r="B26">
        <v>25</v>
      </c>
      <c r="C26" t="s">
        <v>67</v>
      </c>
      <c r="D26" t="s">
        <v>66</v>
      </c>
      <c r="E26">
        <v>2020</v>
      </c>
      <c r="F26" t="s">
        <v>36</v>
      </c>
      <c r="G26" t="s">
        <v>34</v>
      </c>
      <c r="H26" t="s">
        <v>15</v>
      </c>
      <c r="I26" t="s">
        <v>16</v>
      </c>
      <c r="J26">
        <v>6.5431917000000006E-2</v>
      </c>
      <c r="K26">
        <v>16</v>
      </c>
      <c r="L26">
        <v>76.198599999999999</v>
      </c>
      <c r="M26">
        <v>5</v>
      </c>
    </row>
    <row r="27" spans="1:13" x14ac:dyDescent="0.35">
      <c r="A27" t="s">
        <v>17</v>
      </c>
      <c r="B27">
        <v>26</v>
      </c>
      <c r="C27" t="s">
        <v>68</v>
      </c>
      <c r="D27" t="s">
        <v>24</v>
      </c>
      <c r="E27">
        <v>2020</v>
      </c>
      <c r="F27" t="s">
        <v>36</v>
      </c>
      <c r="G27" t="s">
        <v>34</v>
      </c>
      <c r="H27" t="s">
        <v>15</v>
      </c>
      <c r="I27" t="s">
        <v>16</v>
      </c>
      <c r="J27">
        <v>0.140241213</v>
      </c>
      <c r="K27">
        <v>13.35</v>
      </c>
      <c r="L27">
        <v>150.23920000000001</v>
      </c>
      <c r="M27">
        <v>5</v>
      </c>
    </row>
    <row r="28" spans="1:13" x14ac:dyDescent="0.3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v>28</v>
      </c>
      <c r="C29" t="s">
        <v>70</v>
      </c>
      <c r="D29" t="s">
        <v>12</v>
      </c>
      <c r="E29">
        <v>2018</v>
      </c>
      <c r="F29" t="s">
        <v>44</v>
      </c>
      <c r="G29" t="s">
        <v>21</v>
      </c>
      <c r="H29" t="s">
        <v>15</v>
      </c>
      <c r="I29" t="s">
        <v>45</v>
      </c>
      <c r="J29">
        <v>1.6516275E-2</v>
      </c>
      <c r="L29">
        <v>47.403399999999998</v>
      </c>
      <c r="M29">
        <v>5</v>
      </c>
    </row>
    <row r="30" spans="1:13" x14ac:dyDescent="0.3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72</v>
      </c>
      <c r="D31" t="s">
        <v>73</v>
      </c>
      <c r="E31">
        <v>2012</v>
      </c>
      <c r="F31" t="s">
        <v>13</v>
      </c>
      <c r="G31" t="s">
        <v>14</v>
      </c>
      <c r="H31" t="s">
        <v>15</v>
      </c>
      <c r="I31" t="s">
        <v>16</v>
      </c>
      <c r="J31">
        <v>0.131128467</v>
      </c>
      <c r="K31">
        <v>6.92</v>
      </c>
      <c r="L31">
        <v>93.180400000000006</v>
      </c>
      <c r="M31">
        <v>5</v>
      </c>
    </row>
    <row r="32" spans="1:13" x14ac:dyDescent="0.35">
      <c r="A32" t="s">
        <v>17</v>
      </c>
      <c r="B32">
        <v>31</v>
      </c>
      <c r="C32" t="s">
        <v>74</v>
      </c>
      <c r="D32" t="s">
        <v>41</v>
      </c>
      <c r="E32">
        <v>2016</v>
      </c>
      <c r="F32" t="s">
        <v>25</v>
      </c>
      <c r="G32" t="s">
        <v>14</v>
      </c>
      <c r="H32" t="s">
        <v>26</v>
      </c>
      <c r="I32" t="s">
        <v>16</v>
      </c>
      <c r="J32">
        <v>8.0640478000000002E-2</v>
      </c>
      <c r="K32">
        <v>5.82</v>
      </c>
      <c r="L32">
        <v>167.779</v>
      </c>
      <c r="M32">
        <v>5</v>
      </c>
    </row>
    <row r="33" spans="1:13" x14ac:dyDescent="0.35">
      <c r="A33" t="s">
        <v>17</v>
      </c>
      <c r="B33">
        <v>32</v>
      </c>
      <c r="C33" t="s">
        <v>75</v>
      </c>
      <c r="D33" t="s">
        <v>19</v>
      </c>
      <c r="E33">
        <v>2014</v>
      </c>
      <c r="F33" t="s">
        <v>29</v>
      </c>
      <c r="G33" t="s">
        <v>21</v>
      </c>
      <c r="H33" t="s">
        <v>30</v>
      </c>
      <c r="I33" t="s">
        <v>16</v>
      </c>
      <c r="J33">
        <v>1.9464180000000001E-2</v>
      </c>
      <c r="K33">
        <v>14.8</v>
      </c>
      <c r="L33">
        <v>196.3794</v>
      </c>
      <c r="M33">
        <v>5</v>
      </c>
    </row>
    <row r="34" spans="1:13" x14ac:dyDescent="0.35">
      <c r="A34" t="s">
        <v>17</v>
      </c>
      <c r="B34">
        <v>33</v>
      </c>
      <c r="C34" t="s">
        <v>76</v>
      </c>
      <c r="D34" t="s">
        <v>60</v>
      </c>
      <c r="E34">
        <v>2014</v>
      </c>
      <c r="F34" t="s">
        <v>29</v>
      </c>
      <c r="G34" t="s">
        <v>21</v>
      </c>
      <c r="H34" t="s">
        <v>30</v>
      </c>
      <c r="I34" t="s">
        <v>16</v>
      </c>
      <c r="J34">
        <v>4.6545785999999999E-2</v>
      </c>
      <c r="K34">
        <v>10.1</v>
      </c>
      <c r="L34">
        <v>59.9878</v>
      </c>
      <c r="M34">
        <v>5</v>
      </c>
    </row>
    <row r="35" spans="1:13" x14ac:dyDescent="0.35">
      <c r="A35" t="s">
        <v>17</v>
      </c>
      <c r="B35">
        <v>34</v>
      </c>
      <c r="C35" t="s">
        <v>77</v>
      </c>
      <c r="D35" t="s">
        <v>41</v>
      </c>
      <c r="E35">
        <v>2014</v>
      </c>
      <c r="F35" t="s">
        <v>29</v>
      </c>
      <c r="G35" t="s">
        <v>21</v>
      </c>
      <c r="H35" t="s">
        <v>30</v>
      </c>
      <c r="I35" t="s">
        <v>16</v>
      </c>
      <c r="J35">
        <v>0.18468975600000001</v>
      </c>
      <c r="K35">
        <v>7.67</v>
      </c>
      <c r="L35">
        <v>35.421599999999998</v>
      </c>
      <c r="M35">
        <v>5</v>
      </c>
    </row>
    <row r="36" spans="1:13" x14ac:dyDescent="0.35">
      <c r="A36" t="s">
        <v>17</v>
      </c>
      <c r="B36">
        <v>35</v>
      </c>
      <c r="C36" t="s">
        <v>78</v>
      </c>
      <c r="D36" t="s">
        <v>47</v>
      </c>
      <c r="E36">
        <v>2020</v>
      </c>
      <c r="F36" t="s">
        <v>36</v>
      </c>
      <c r="G36" t="s">
        <v>34</v>
      </c>
      <c r="H36" t="s">
        <v>15</v>
      </c>
      <c r="I36" t="s">
        <v>16</v>
      </c>
      <c r="J36">
        <v>2.5342692E-2</v>
      </c>
      <c r="K36">
        <v>15.6</v>
      </c>
      <c r="L36">
        <v>174.30539999999999</v>
      </c>
      <c r="M36">
        <v>5</v>
      </c>
    </row>
    <row r="37" spans="1:13" x14ac:dyDescent="0.35">
      <c r="A37" t="s">
        <v>17</v>
      </c>
      <c r="B37">
        <v>36</v>
      </c>
      <c r="C37" t="s">
        <v>79</v>
      </c>
      <c r="D37" t="s">
        <v>24</v>
      </c>
      <c r="E37">
        <v>2014</v>
      </c>
      <c r="F37" t="s">
        <v>29</v>
      </c>
      <c r="G37" t="s">
        <v>21</v>
      </c>
      <c r="H37" t="s">
        <v>30</v>
      </c>
      <c r="I37" t="s">
        <v>16</v>
      </c>
      <c r="J37">
        <v>3.7923509000000001E-2</v>
      </c>
      <c r="K37">
        <v>9.31</v>
      </c>
      <c r="L37">
        <v>61.651000000000003</v>
      </c>
      <c r="M37">
        <v>5</v>
      </c>
    </row>
    <row r="38" spans="1:13" x14ac:dyDescent="0.35">
      <c r="A38" t="s">
        <v>17</v>
      </c>
      <c r="B38">
        <v>37</v>
      </c>
      <c r="C38" t="s">
        <v>80</v>
      </c>
      <c r="D38" t="s">
        <v>12</v>
      </c>
      <c r="E38">
        <v>2015</v>
      </c>
      <c r="F38" t="s">
        <v>33</v>
      </c>
      <c r="G38" t="s">
        <v>34</v>
      </c>
      <c r="H38" t="s">
        <v>15</v>
      </c>
      <c r="I38" t="s">
        <v>16</v>
      </c>
      <c r="J38">
        <v>0.121848436</v>
      </c>
      <c r="K38">
        <v>11.8</v>
      </c>
      <c r="L38">
        <v>46.840200000000003</v>
      </c>
      <c r="M38">
        <v>5</v>
      </c>
    </row>
    <row r="39" spans="1:13" x14ac:dyDescent="0.35">
      <c r="A39" t="s">
        <v>10</v>
      </c>
      <c r="B39">
        <v>38</v>
      </c>
      <c r="C39" t="s">
        <v>81</v>
      </c>
      <c r="D39" t="s">
        <v>47</v>
      </c>
      <c r="E39">
        <v>2015</v>
      </c>
      <c r="F39" t="s">
        <v>33</v>
      </c>
      <c r="G39" t="s">
        <v>34</v>
      </c>
      <c r="H39" t="s">
        <v>15</v>
      </c>
      <c r="I39" t="s">
        <v>16</v>
      </c>
      <c r="J39">
        <v>3.8029746000000003E-2</v>
      </c>
      <c r="K39">
        <v>13.15</v>
      </c>
      <c r="L39">
        <v>88.685599999999994</v>
      </c>
      <c r="M39">
        <v>5</v>
      </c>
    </row>
    <row r="40" spans="1:13" x14ac:dyDescent="0.35">
      <c r="A40" t="s">
        <v>17</v>
      </c>
      <c r="B40">
        <v>39</v>
      </c>
      <c r="C40" t="s">
        <v>82</v>
      </c>
      <c r="D40" t="s">
        <v>12</v>
      </c>
      <c r="E40">
        <v>2012</v>
      </c>
      <c r="F40" t="s">
        <v>13</v>
      </c>
      <c r="G40" t="s">
        <v>14</v>
      </c>
      <c r="H40" t="s">
        <v>15</v>
      </c>
      <c r="I40" t="s">
        <v>16</v>
      </c>
      <c r="J40">
        <v>5.7485328000000002E-2</v>
      </c>
      <c r="K40">
        <v>16.25</v>
      </c>
      <c r="L40">
        <v>126.2046</v>
      </c>
      <c r="M40">
        <v>5</v>
      </c>
    </row>
    <row r="41" spans="1:13" x14ac:dyDescent="0.35">
      <c r="A41" t="s">
        <v>10</v>
      </c>
      <c r="B41">
        <v>40</v>
      </c>
      <c r="C41" t="s">
        <v>83</v>
      </c>
      <c r="D41" t="s">
        <v>53</v>
      </c>
      <c r="E41">
        <v>2016</v>
      </c>
      <c r="F41" t="s">
        <v>25</v>
      </c>
      <c r="G41" t="s">
        <v>14</v>
      </c>
      <c r="H41" t="s">
        <v>26</v>
      </c>
      <c r="I41" t="s">
        <v>16</v>
      </c>
      <c r="J41">
        <v>8.5274987999999996E-2</v>
      </c>
      <c r="K41">
        <v>13.85</v>
      </c>
      <c r="L41">
        <v>119.61239999999999</v>
      </c>
      <c r="M41">
        <v>5</v>
      </c>
    </row>
    <row r="42" spans="1:13" x14ac:dyDescent="0.35">
      <c r="A42" t="s">
        <v>10</v>
      </c>
      <c r="B42">
        <v>41</v>
      </c>
      <c r="C42" t="s">
        <v>84</v>
      </c>
      <c r="D42" t="s">
        <v>66</v>
      </c>
      <c r="E42">
        <v>2014</v>
      </c>
      <c r="F42" t="s">
        <v>29</v>
      </c>
      <c r="G42" t="s">
        <v>21</v>
      </c>
      <c r="H42" t="s">
        <v>30</v>
      </c>
      <c r="I42" t="s">
        <v>16</v>
      </c>
      <c r="J42">
        <v>0.108148913</v>
      </c>
      <c r="K42">
        <v>6.75</v>
      </c>
      <c r="L42">
        <v>95.675200000000004</v>
      </c>
      <c r="M42">
        <v>5</v>
      </c>
    </row>
    <row r="43" spans="1:13" x14ac:dyDescent="0.35">
      <c r="A43" t="s">
        <v>10</v>
      </c>
      <c r="B43">
        <v>42</v>
      </c>
      <c r="C43" t="s">
        <v>85</v>
      </c>
      <c r="D43" t="s">
        <v>12</v>
      </c>
      <c r="E43">
        <v>2018</v>
      </c>
      <c r="F43" t="s">
        <v>44</v>
      </c>
      <c r="G43" t="s">
        <v>21</v>
      </c>
      <c r="H43" t="s">
        <v>15</v>
      </c>
      <c r="I43" t="s">
        <v>45</v>
      </c>
      <c r="J43">
        <v>1.8838680999999999E-2</v>
      </c>
      <c r="L43">
        <v>62.953600000000002</v>
      </c>
      <c r="M43">
        <v>5</v>
      </c>
    </row>
    <row r="44" spans="1:13" x14ac:dyDescent="0.35">
      <c r="A44" t="s">
        <v>17</v>
      </c>
      <c r="B44">
        <v>43</v>
      </c>
      <c r="C44" t="s">
        <v>86</v>
      </c>
      <c r="D44" t="s">
        <v>60</v>
      </c>
      <c r="E44">
        <v>2015</v>
      </c>
      <c r="F44" t="s">
        <v>33</v>
      </c>
      <c r="G44" t="s">
        <v>34</v>
      </c>
      <c r="H44" t="s">
        <v>15</v>
      </c>
      <c r="I44" t="s">
        <v>16</v>
      </c>
      <c r="J44">
        <v>4.8115542999999997E-2</v>
      </c>
      <c r="K44">
        <v>10.5</v>
      </c>
      <c r="L44">
        <v>159.09460000000001</v>
      </c>
      <c r="M44">
        <v>5</v>
      </c>
    </row>
    <row r="45" spans="1:13" x14ac:dyDescent="0.3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v>45</v>
      </c>
      <c r="C46" t="s">
        <v>88</v>
      </c>
      <c r="D46" t="s">
        <v>73</v>
      </c>
      <c r="E46">
        <v>2011</v>
      </c>
      <c r="F46" t="s">
        <v>38</v>
      </c>
      <c r="G46" t="s">
        <v>21</v>
      </c>
      <c r="H46" t="s">
        <v>15</v>
      </c>
      <c r="I46" t="s">
        <v>39</v>
      </c>
      <c r="J46">
        <v>0.10599465399999999</v>
      </c>
      <c r="K46">
        <v>20.75</v>
      </c>
      <c r="L46">
        <v>150.56819999999999</v>
      </c>
      <c r="M46">
        <v>5</v>
      </c>
    </row>
    <row r="47" spans="1:13" x14ac:dyDescent="0.35">
      <c r="A47" t="s">
        <v>17</v>
      </c>
      <c r="B47">
        <v>46</v>
      </c>
      <c r="C47" t="s">
        <v>89</v>
      </c>
      <c r="D47" t="s">
        <v>63</v>
      </c>
      <c r="E47">
        <v>2014</v>
      </c>
      <c r="F47" t="s">
        <v>29</v>
      </c>
      <c r="G47" t="s">
        <v>21</v>
      </c>
      <c r="H47" t="s">
        <v>30</v>
      </c>
      <c r="I47" t="s">
        <v>16</v>
      </c>
      <c r="J47">
        <v>0.18250177300000001</v>
      </c>
      <c r="K47">
        <v>19.2</v>
      </c>
      <c r="L47">
        <v>239.21960000000001</v>
      </c>
      <c r="M47">
        <v>5</v>
      </c>
    </row>
    <row r="48" spans="1:13" x14ac:dyDescent="0.35">
      <c r="A48" t="s">
        <v>17</v>
      </c>
      <c r="B48">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v>48</v>
      </c>
      <c r="C49" t="s">
        <v>91</v>
      </c>
      <c r="D49" t="s">
        <v>24</v>
      </c>
      <c r="E49">
        <v>2012</v>
      </c>
      <c r="F49" t="s">
        <v>13</v>
      </c>
      <c r="G49" t="s">
        <v>14</v>
      </c>
      <c r="H49" t="s">
        <v>15</v>
      </c>
      <c r="I49" t="s">
        <v>16</v>
      </c>
      <c r="J49">
        <v>1.3658248E-2</v>
      </c>
      <c r="K49">
        <v>17.5</v>
      </c>
      <c r="L49">
        <v>256.3304</v>
      </c>
      <c r="M49">
        <v>5</v>
      </c>
    </row>
    <row r="50" spans="1:13" x14ac:dyDescent="0.35">
      <c r="A50" t="s">
        <v>17</v>
      </c>
      <c r="B50">
        <v>49</v>
      </c>
      <c r="C50" t="s">
        <v>92</v>
      </c>
      <c r="D50" t="s">
        <v>41</v>
      </c>
      <c r="E50">
        <v>2012</v>
      </c>
      <c r="F50" t="s">
        <v>13</v>
      </c>
      <c r="G50" t="s">
        <v>14</v>
      </c>
      <c r="H50" t="s">
        <v>15</v>
      </c>
      <c r="I50" t="s">
        <v>16</v>
      </c>
      <c r="J50">
        <v>1.1305479E-2</v>
      </c>
      <c r="K50">
        <v>10.5</v>
      </c>
      <c r="L50">
        <v>235.5248</v>
      </c>
      <c r="M50">
        <v>5</v>
      </c>
    </row>
    <row r="51" spans="1:13" x14ac:dyDescent="0.3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v>51</v>
      </c>
      <c r="C52" t="s">
        <v>95</v>
      </c>
      <c r="D52" t="s">
        <v>28</v>
      </c>
      <c r="E52">
        <v>2012</v>
      </c>
      <c r="F52" t="s">
        <v>13</v>
      </c>
      <c r="G52" t="s">
        <v>14</v>
      </c>
      <c r="H52" t="s">
        <v>15</v>
      </c>
      <c r="I52" t="s">
        <v>16</v>
      </c>
      <c r="J52">
        <v>2.5867352999999999E-2</v>
      </c>
      <c r="K52">
        <v>10</v>
      </c>
      <c r="L52">
        <v>264.62259999999998</v>
      </c>
      <c r="M52">
        <v>5</v>
      </c>
    </row>
    <row r="53" spans="1:13" x14ac:dyDescent="0.35">
      <c r="A53" t="s">
        <v>17</v>
      </c>
      <c r="B53">
        <v>52</v>
      </c>
      <c r="C53" t="s">
        <v>96</v>
      </c>
      <c r="D53" t="s">
        <v>28</v>
      </c>
      <c r="E53">
        <v>2012</v>
      </c>
      <c r="F53" t="s">
        <v>13</v>
      </c>
      <c r="G53" t="s">
        <v>14</v>
      </c>
      <c r="H53" t="s">
        <v>15</v>
      </c>
      <c r="I53" t="s">
        <v>16</v>
      </c>
      <c r="J53">
        <v>2.4201904999999999E-2</v>
      </c>
      <c r="K53">
        <v>10.1</v>
      </c>
      <c r="L53">
        <v>114.91500000000001</v>
      </c>
      <c r="M53">
        <v>5</v>
      </c>
    </row>
    <row r="54" spans="1:13" x14ac:dyDescent="0.35">
      <c r="A54" t="s">
        <v>17</v>
      </c>
      <c r="B54">
        <v>53</v>
      </c>
      <c r="C54" t="s">
        <v>97</v>
      </c>
      <c r="D54" t="s">
        <v>66</v>
      </c>
      <c r="E54">
        <v>2012</v>
      </c>
      <c r="F54" t="s">
        <v>13</v>
      </c>
      <c r="G54" t="s">
        <v>14</v>
      </c>
      <c r="H54" t="s">
        <v>15</v>
      </c>
      <c r="I54" t="s">
        <v>16</v>
      </c>
      <c r="J54">
        <v>2.8461453000000001E-2</v>
      </c>
      <c r="K54">
        <v>8.93</v>
      </c>
      <c r="L54">
        <v>152.23400000000001</v>
      </c>
      <c r="M54">
        <v>5</v>
      </c>
    </row>
    <row r="55" spans="1:13" x14ac:dyDescent="0.35">
      <c r="A55" t="s">
        <v>17</v>
      </c>
      <c r="B55">
        <v>54</v>
      </c>
      <c r="C55" t="s">
        <v>98</v>
      </c>
      <c r="D55" t="s">
        <v>24</v>
      </c>
      <c r="E55">
        <v>2012</v>
      </c>
      <c r="F55" t="s">
        <v>13</v>
      </c>
      <c r="G55" t="s">
        <v>14</v>
      </c>
      <c r="H55" t="s">
        <v>15</v>
      </c>
      <c r="I55" t="s">
        <v>16</v>
      </c>
      <c r="J55">
        <v>8.6266285999999998E-2</v>
      </c>
      <c r="K55">
        <v>7.3</v>
      </c>
      <c r="L55">
        <v>147.20760000000001</v>
      </c>
      <c r="M55">
        <v>5</v>
      </c>
    </row>
    <row r="56" spans="1:13" x14ac:dyDescent="0.35">
      <c r="A56" t="s">
        <v>17</v>
      </c>
      <c r="B56">
        <v>55</v>
      </c>
      <c r="C56" t="s">
        <v>99</v>
      </c>
      <c r="D56" t="s">
        <v>24</v>
      </c>
      <c r="E56">
        <v>2012</v>
      </c>
      <c r="F56" t="s">
        <v>13</v>
      </c>
      <c r="G56" t="s">
        <v>14</v>
      </c>
      <c r="H56" t="s">
        <v>15</v>
      </c>
      <c r="I56" t="s">
        <v>16</v>
      </c>
      <c r="J56">
        <v>5.5570619999999998E-3</v>
      </c>
      <c r="K56">
        <v>7.93</v>
      </c>
      <c r="L56">
        <v>122.1414</v>
      </c>
      <c r="M56">
        <v>5</v>
      </c>
    </row>
    <row r="57" spans="1:13" x14ac:dyDescent="0.35">
      <c r="A57" t="s">
        <v>17</v>
      </c>
      <c r="B57">
        <v>56</v>
      </c>
      <c r="C57" t="s">
        <v>100</v>
      </c>
      <c r="D57" t="s">
        <v>24</v>
      </c>
      <c r="E57">
        <v>2012</v>
      </c>
      <c r="F57" t="s">
        <v>13</v>
      </c>
      <c r="G57" t="s">
        <v>14</v>
      </c>
      <c r="H57" t="s">
        <v>15</v>
      </c>
      <c r="I57" t="s">
        <v>16</v>
      </c>
      <c r="J57">
        <v>1.3834246999999999E-2</v>
      </c>
      <c r="K57">
        <v>15.35</v>
      </c>
      <c r="L57">
        <v>62.716799999999999</v>
      </c>
      <c r="M57">
        <v>5</v>
      </c>
    </row>
    <row r="58" spans="1:13" x14ac:dyDescent="0.35">
      <c r="A58" t="s">
        <v>17</v>
      </c>
      <c r="B58">
        <v>57</v>
      </c>
      <c r="C58" t="s">
        <v>101</v>
      </c>
      <c r="D58" t="s">
        <v>24</v>
      </c>
      <c r="E58">
        <v>2012</v>
      </c>
      <c r="F58" t="s">
        <v>13</v>
      </c>
      <c r="G58" t="s">
        <v>14</v>
      </c>
      <c r="H58" t="s">
        <v>15</v>
      </c>
      <c r="I58" t="s">
        <v>16</v>
      </c>
      <c r="J58">
        <v>1.6637301E-2</v>
      </c>
      <c r="K58">
        <v>19.350000000000001</v>
      </c>
      <c r="L58">
        <v>120.9098</v>
      </c>
      <c r="M58">
        <v>5</v>
      </c>
    </row>
    <row r="59" spans="1:13" x14ac:dyDescent="0.35">
      <c r="A59" t="s">
        <v>17</v>
      </c>
      <c r="B59">
        <v>58</v>
      </c>
      <c r="C59" t="s">
        <v>102</v>
      </c>
      <c r="D59" t="s">
        <v>12</v>
      </c>
      <c r="E59">
        <v>2012</v>
      </c>
      <c r="F59" t="s">
        <v>13</v>
      </c>
      <c r="G59" t="s">
        <v>14</v>
      </c>
      <c r="H59" t="s">
        <v>15</v>
      </c>
      <c r="I59" t="s">
        <v>16</v>
      </c>
      <c r="J59">
        <v>3.1331580999999997E-2</v>
      </c>
      <c r="K59">
        <v>9.5</v>
      </c>
      <c r="L59">
        <v>111.1228</v>
      </c>
      <c r="M59">
        <v>5</v>
      </c>
    </row>
    <row r="60" spans="1:13" x14ac:dyDescent="0.35">
      <c r="A60" t="s">
        <v>17</v>
      </c>
      <c r="B60">
        <v>59</v>
      </c>
      <c r="C60" t="s">
        <v>103</v>
      </c>
      <c r="D60" t="s">
        <v>12</v>
      </c>
      <c r="E60">
        <v>2012</v>
      </c>
      <c r="F60" t="s">
        <v>13</v>
      </c>
      <c r="G60" t="s">
        <v>14</v>
      </c>
      <c r="H60" t="s">
        <v>15</v>
      </c>
      <c r="I60" t="s">
        <v>16</v>
      </c>
      <c r="J60">
        <v>4.1459804000000003E-2</v>
      </c>
      <c r="K60">
        <v>10.5</v>
      </c>
      <c r="L60">
        <v>39.2164</v>
      </c>
      <c r="M60">
        <v>5</v>
      </c>
    </row>
    <row r="61" spans="1:13" x14ac:dyDescent="0.35">
      <c r="A61" t="s">
        <v>17</v>
      </c>
      <c r="B61">
        <v>60</v>
      </c>
      <c r="C61" t="s">
        <v>104</v>
      </c>
      <c r="D61" t="s">
        <v>12</v>
      </c>
      <c r="E61">
        <v>2012</v>
      </c>
      <c r="F61" t="s">
        <v>13</v>
      </c>
      <c r="G61" t="s">
        <v>14</v>
      </c>
      <c r="H61" t="s">
        <v>15</v>
      </c>
      <c r="I61" t="s">
        <v>16</v>
      </c>
      <c r="J61">
        <v>0</v>
      </c>
      <c r="K61">
        <v>15.6</v>
      </c>
      <c r="L61">
        <v>111.95180000000001</v>
      </c>
      <c r="M61">
        <v>5</v>
      </c>
    </row>
    <row r="62" spans="1:13" x14ac:dyDescent="0.35">
      <c r="A62" t="s">
        <v>17</v>
      </c>
      <c r="B62">
        <v>61</v>
      </c>
      <c r="C62" t="s">
        <v>105</v>
      </c>
      <c r="D62" t="s">
        <v>60</v>
      </c>
      <c r="E62">
        <v>2012</v>
      </c>
      <c r="F62" t="s">
        <v>13</v>
      </c>
      <c r="G62" t="s">
        <v>14</v>
      </c>
      <c r="H62" t="s">
        <v>15</v>
      </c>
      <c r="I62" t="s">
        <v>16</v>
      </c>
      <c r="J62">
        <v>3.597678E-3</v>
      </c>
      <c r="K62">
        <v>5.88</v>
      </c>
      <c r="L62">
        <v>153.8998</v>
      </c>
      <c r="M62">
        <v>5</v>
      </c>
    </row>
    <row r="63" spans="1:13" x14ac:dyDescent="0.3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v>63</v>
      </c>
      <c r="C64" t="s">
        <v>107</v>
      </c>
      <c r="D64" t="s">
        <v>19</v>
      </c>
      <c r="E64">
        <v>2012</v>
      </c>
      <c r="F64" t="s">
        <v>13</v>
      </c>
      <c r="G64" t="s">
        <v>14</v>
      </c>
      <c r="H64" t="s">
        <v>15</v>
      </c>
      <c r="I64" t="s">
        <v>16</v>
      </c>
      <c r="J64">
        <v>3.5247642000000003E-2</v>
      </c>
      <c r="K64">
        <v>10.6</v>
      </c>
      <c r="L64">
        <v>84.722399999999993</v>
      </c>
      <c r="M64">
        <v>5</v>
      </c>
    </row>
    <row r="65" spans="1:13" x14ac:dyDescent="0.35">
      <c r="A65" t="s">
        <v>17</v>
      </c>
      <c r="B65">
        <v>64</v>
      </c>
      <c r="C65" t="s">
        <v>108</v>
      </c>
      <c r="D65" t="s">
        <v>41</v>
      </c>
      <c r="E65">
        <v>2012</v>
      </c>
      <c r="F65" t="s">
        <v>13</v>
      </c>
      <c r="G65" t="s">
        <v>14</v>
      </c>
      <c r="H65" t="s">
        <v>15</v>
      </c>
      <c r="I65" t="s">
        <v>16</v>
      </c>
      <c r="J65">
        <v>2.8365524E-2</v>
      </c>
      <c r="K65">
        <v>6.13</v>
      </c>
      <c r="L65">
        <v>110.0912</v>
      </c>
      <c r="M65">
        <v>5</v>
      </c>
    </row>
    <row r="66" spans="1:13" x14ac:dyDescent="0.35">
      <c r="A66" t="s">
        <v>17</v>
      </c>
      <c r="B66">
        <v>65</v>
      </c>
      <c r="C66" t="s">
        <v>109</v>
      </c>
      <c r="D66" t="s">
        <v>41</v>
      </c>
      <c r="E66">
        <v>2012</v>
      </c>
      <c r="F66" t="s">
        <v>13</v>
      </c>
      <c r="G66" t="s">
        <v>14</v>
      </c>
      <c r="H66" t="s">
        <v>15</v>
      </c>
      <c r="I66" t="s">
        <v>16</v>
      </c>
      <c r="J66">
        <v>1.5186145999999999E-2</v>
      </c>
      <c r="K66">
        <v>6.38</v>
      </c>
      <c r="L66">
        <v>144.947</v>
      </c>
      <c r="M66">
        <v>5</v>
      </c>
    </row>
    <row r="67" spans="1:13" x14ac:dyDescent="0.3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v>67</v>
      </c>
      <c r="C68" t="s">
        <v>111</v>
      </c>
      <c r="D68" t="s">
        <v>41</v>
      </c>
      <c r="E68">
        <v>2012</v>
      </c>
      <c r="F68" t="s">
        <v>13</v>
      </c>
      <c r="G68" t="s">
        <v>14</v>
      </c>
      <c r="H68" t="s">
        <v>15</v>
      </c>
      <c r="I68" t="s">
        <v>16</v>
      </c>
      <c r="J68">
        <v>4.7791878000000003E-2</v>
      </c>
      <c r="K68">
        <v>11.3</v>
      </c>
      <c r="L68">
        <v>180.76599999999999</v>
      </c>
      <c r="M68">
        <v>5</v>
      </c>
    </row>
    <row r="69" spans="1:13" x14ac:dyDescent="0.35">
      <c r="A69" t="s">
        <v>17</v>
      </c>
      <c r="B69">
        <v>68</v>
      </c>
      <c r="C69" t="s">
        <v>112</v>
      </c>
      <c r="D69" t="s">
        <v>41</v>
      </c>
      <c r="E69">
        <v>2012</v>
      </c>
      <c r="F69" t="s">
        <v>13</v>
      </c>
      <c r="G69" t="s">
        <v>14</v>
      </c>
      <c r="H69" t="s">
        <v>15</v>
      </c>
      <c r="I69" t="s">
        <v>16</v>
      </c>
      <c r="J69">
        <v>7.4680559999999998E-3</v>
      </c>
      <c r="K69">
        <v>12.6</v>
      </c>
      <c r="L69">
        <v>186.9556</v>
      </c>
      <c r="M69">
        <v>5</v>
      </c>
    </row>
    <row r="70" spans="1:13" x14ac:dyDescent="0.35">
      <c r="A70" t="s">
        <v>17</v>
      </c>
      <c r="B70">
        <v>69</v>
      </c>
      <c r="C70" t="s">
        <v>113</v>
      </c>
      <c r="D70" t="s">
        <v>41</v>
      </c>
      <c r="E70">
        <v>2012</v>
      </c>
      <c r="F70" t="s">
        <v>13</v>
      </c>
      <c r="G70" t="s">
        <v>14</v>
      </c>
      <c r="H70" t="s">
        <v>15</v>
      </c>
      <c r="I70" t="s">
        <v>16</v>
      </c>
      <c r="J70">
        <v>0.113694957</v>
      </c>
      <c r="K70">
        <v>17.25</v>
      </c>
      <c r="L70">
        <v>253.47239999999999</v>
      </c>
      <c r="M70">
        <v>5</v>
      </c>
    </row>
    <row r="71" spans="1:13" x14ac:dyDescent="0.3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v>73</v>
      </c>
      <c r="C74" t="s">
        <v>117</v>
      </c>
      <c r="D74" t="s">
        <v>47</v>
      </c>
      <c r="E74">
        <v>2012</v>
      </c>
      <c r="F74" t="s">
        <v>13</v>
      </c>
      <c r="G74" t="s">
        <v>14</v>
      </c>
      <c r="H74" t="s">
        <v>15</v>
      </c>
      <c r="I74" t="s">
        <v>16</v>
      </c>
      <c r="J74">
        <v>2.8988288000000001E-2</v>
      </c>
      <c r="K74">
        <v>10.8</v>
      </c>
      <c r="L74">
        <v>239.22219999999999</v>
      </c>
      <c r="M74">
        <v>5</v>
      </c>
    </row>
    <row r="75" spans="1:13" x14ac:dyDescent="0.35">
      <c r="A75" t="s">
        <v>17</v>
      </c>
      <c r="B75">
        <v>74</v>
      </c>
      <c r="C75" t="s">
        <v>118</v>
      </c>
      <c r="D75" t="s">
        <v>47</v>
      </c>
      <c r="E75">
        <v>2012</v>
      </c>
      <c r="F75" t="s">
        <v>13</v>
      </c>
      <c r="G75" t="s">
        <v>14</v>
      </c>
      <c r="H75" t="s">
        <v>15</v>
      </c>
      <c r="I75" t="s">
        <v>16</v>
      </c>
      <c r="J75">
        <v>2.0600553000000001E-2</v>
      </c>
      <c r="K75">
        <v>12.1</v>
      </c>
      <c r="L75">
        <v>147.57339999999999</v>
      </c>
      <c r="M75">
        <v>5</v>
      </c>
    </row>
    <row r="76" spans="1:13" x14ac:dyDescent="0.35">
      <c r="A76" t="s">
        <v>10</v>
      </c>
      <c r="B76">
        <v>75</v>
      </c>
      <c r="C76" t="s">
        <v>119</v>
      </c>
      <c r="D76" t="s">
        <v>94</v>
      </c>
      <c r="E76">
        <v>2012</v>
      </c>
      <c r="F76" t="s">
        <v>13</v>
      </c>
      <c r="G76" t="s">
        <v>14</v>
      </c>
      <c r="H76" t="s">
        <v>15</v>
      </c>
      <c r="I76" t="s">
        <v>16</v>
      </c>
      <c r="J76">
        <v>7.5868843000000005E-2</v>
      </c>
      <c r="K76">
        <v>15.5</v>
      </c>
      <c r="L76">
        <v>261.7568</v>
      </c>
      <c r="M76">
        <v>5</v>
      </c>
    </row>
    <row r="77" spans="1:13" x14ac:dyDescent="0.35">
      <c r="A77" t="s">
        <v>10</v>
      </c>
      <c r="B77">
        <v>76</v>
      </c>
      <c r="C77" t="s">
        <v>120</v>
      </c>
      <c r="D77" t="s">
        <v>94</v>
      </c>
      <c r="E77">
        <v>2012</v>
      </c>
      <c r="F77" t="s">
        <v>13</v>
      </c>
      <c r="G77" t="s">
        <v>14</v>
      </c>
      <c r="H77" t="s">
        <v>15</v>
      </c>
      <c r="I77" t="s">
        <v>16</v>
      </c>
      <c r="J77">
        <v>7.9419754999999995E-2</v>
      </c>
      <c r="K77">
        <v>20.7</v>
      </c>
      <c r="L77">
        <v>99.804199999999994</v>
      </c>
      <c r="M77">
        <v>5</v>
      </c>
    </row>
    <row r="78" spans="1:13" x14ac:dyDescent="0.35">
      <c r="A78" t="s">
        <v>10</v>
      </c>
      <c r="B78">
        <v>77</v>
      </c>
      <c r="C78" t="s">
        <v>121</v>
      </c>
      <c r="D78" t="s">
        <v>56</v>
      </c>
      <c r="E78">
        <v>2012</v>
      </c>
      <c r="F78" t="s">
        <v>13</v>
      </c>
      <c r="G78" t="s">
        <v>14</v>
      </c>
      <c r="H78" t="s">
        <v>15</v>
      </c>
      <c r="I78" t="s">
        <v>16</v>
      </c>
      <c r="J78">
        <v>3.0311951E-2</v>
      </c>
      <c r="K78">
        <v>8</v>
      </c>
      <c r="L78">
        <v>247.4092</v>
      </c>
      <c r="M78">
        <v>5</v>
      </c>
    </row>
    <row r="79" spans="1:13" x14ac:dyDescent="0.35">
      <c r="A79" t="s">
        <v>10</v>
      </c>
      <c r="B79">
        <v>78</v>
      </c>
      <c r="C79" t="s">
        <v>122</v>
      </c>
      <c r="D79" t="s">
        <v>28</v>
      </c>
      <c r="E79">
        <v>2012</v>
      </c>
      <c r="F79" t="s">
        <v>13</v>
      </c>
      <c r="G79" t="s">
        <v>14</v>
      </c>
      <c r="H79" t="s">
        <v>15</v>
      </c>
      <c r="I79" t="s">
        <v>16</v>
      </c>
      <c r="J79">
        <v>3.0742083E-2</v>
      </c>
      <c r="K79">
        <v>19.5</v>
      </c>
      <c r="L79">
        <v>85.554000000000002</v>
      </c>
      <c r="M79">
        <v>5</v>
      </c>
    </row>
    <row r="80" spans="1:13" x14ac:dyDescent="0.35">
      <c r="A80" t="s">
        <v>10</v>
      </c>
      <c r="B80">
        <v>79</v>
      </c>
      <c r="C80" t="s">
        <v>123</v>
      </c>
      <c r="D80" t="s">
        <v>66</v>
      </c>
      <c r="E80">
        <v>2012</v>
      </c>
      <c r="F80" t="s">
        <v>13</v>
      </c>
      <c r="G80" t="s">
        <v>14</v>
      </c>
      <c r="H80" t="s">
        <v>15</v>
      </c>
      <c r="I80" t="s">
        <v>16</v>
      </c>
      <c r="J80">
        <v>2.9768869999999999E-2</v>
      </c>
      <c r="K80">
        <v>14</v>
      </c>
      <c r="L80">
        <v>145.4786</v>
      </c>
      <c r="M80">
        <v>5</v>
      </c>
    </row>
    <row r="81" spans="1:13" x14ac:dyDescent="0.35">
      <c r="A81" t="s">
        <v>10</v>
      </c>
      <c r="B81">
        <v>80</v>
      </c>
      <c r="C81" t="s">
        <v>124</v>
      </c>
      <c r="D81" t="s">
        <v>66</v>
      </c>
      <c r="E81">
        <v>2012</v>
      </c>
      <c r="F81" t="s">
        <v>13</v>
      </c>
      <c r="G81" t="s">
        <v>14</v>
      </c>
      <c r="H81" t="s">
        <v>15</v>
      </c>
      <c r="I81" t="s">
        <v>16</v>
      </c>
      <c r="J81">
        <v>0</v>
      </c>
      <c r="K81">
        <v>20.25</v>
      </c>
      <c r="L81">
        <v>194.27940000000001</v>
      </c>
      <c r="M81">
        <v>5</v>
      </c>
    </row>
    <row r="82" spans="1:13" x14ac:dyDescent="0.35">
      <c r="A82" t="s">
        <v>10</v>
      </c>
      <c r="B82">
        <v>81</v>
      </c>
      <c r="C82" t="s">
        <v>125</v>
      </c>
      <c r="D82" t="s">
        <v>24</v>
      </c>
      <c r="E82">
        <v>2012</v>
      </c>
      <c r="F82" t="s">
        <v>13</v>
      </c>
      <c r="G82" t="s">
        <v>14</v>
      </c>
      <c r="H82" t="s">
        <v>15</v>
      </c>
      <c r="I82" t="s">
        <v>16</v>
      </c>
      <c r="J82">
        <v>6.6833743000000001E-2</v>
      </c>
      <c r="K82">
        <v>11.3</v>
      </c>
      <c r="L82">
        <v>257.2962</v>
      </c>
      <c r="M82">
        <v>5</v>
      </c>
    </row>
    <row r="83" spans="1:13" x14ac:dyDescent="0.35">
      <c r="A83" t="s">
        <v>10</v>
      </c>
      <c r="B83">
        <v>82</v>
      </c>
      <c r="C83" t="s">
        <v>126</v>
      </c>
      <c r="D83" t="s">
        <v>24</v>
      </c>
      <c r="E83">
        <v>2012</v>
      </c>
      <c r="F83" t="s">
        <v>13</v>
      </c>
      <c r="G83" t="s">
        <v>14</v>
      </c>
      <c r="H83" t="s">
        <v>15</v>
      </c>
      <c r="I83" t="s">
        <v>16</v>
      </c>
      <c r="J83">
        <v>7.7284565999999999E-2</v>
      </c>
      <c r="K83">
        <v>11.6</v>
      </c>
      <c r="L83">
        <v>172.41059999999999</v>
      </c>
      <c r="M83">
        <v>5</v>
      </c>
    </row>
    <row r="84" spans="1:13" x14ac:dyDescent="0.35">
      <c r="A84" t="s">
        <v>10</v>
      </c>
      <c r="B84">
        <v>83</v>
      </c>
      <c r="C84" t="s">
        <v>127</v>
      </c>
      <c r="D84" t="s">
        <v>24</v>
      </c>
      <c r="E84">
        <v>2012</v>
      </c>
      <c r="F84" t="s">
        <v>13</v>
      </c>
      <c r="G84" t="s">
        <v>14</v>
      </c>
      <c r="H84" t="s">
        <v>15</v>
      </c>
      <c r="I84" t="s">
        <v>16</v>
      </c>
      <c r="J84">
        <v>9.9425550000000001E-2</v>
      </c>
      <c r="K84">
        <v>16</v>
      </c>
      <c r="L84">
        <v>87.085599999999999</v>
      </c>
      <c r="M84">
        <v>5</v>
      </c>
    </row>
    <row r="85" spans="1:13" x14ac:dyDescent="0.35">
      <c r="A85" t="s">
        <v>10</v>
      </c>
      <c r="B85">
        <v>84</v>
      </c>
      <c r="C85" t="s">
        <v>128</v>
      </c>
      <c r="D85" t="s">
        <v>53</v>
      </c>
      <c r="E85">
        <v>2012</v>
      </c>
      <c r="F85" t="s">
        <v>13</v>
      </c>
      <c r="G85" t="s">
        <v>14</v>
      </c>
      <c r="H85" t="s">
        <v>15</v>
      </c>
      <c r="I85" t="s">
        <v>16</v>
      </c>
      <c r="J85">
        <v>1.2477512E-2</v>
      </c>
      <c r="K85">
        <v>10.195</v>
      </c>
      <c r="L85">
        <v>197.11099999999999</v>
      </c>
      <c r="M85">
        <v>5</v>
      </c>
    </row>
    <row r="86" spans="1:13" x14ac:dyDescent="0.35">
      <c r="A86" t="s">
        <v>10</v>
      </c>
      <c r="B86">
        <v>85</v>
      </c>
      <c r="C86" t="s">
        <v>129</v>
      </c>
      <c r="D86" t="s">
        <v>53</v>
      </c>
      <c r="E86">
        <v>2012</v>
      </c>
      <c r="F86" t="s">
        <v>13</v>
      </c>
      <c r="G86" t="s">
        <v>14</v>
      </c>
      <c r="H86" t="s">
        <v>15</v>
      </c>
      <c r="I86" t="s">
        <v>16</v>
      </c>
      <c r="J86">
        <v>2.6643448E-2</v>
      </c>
      <c r="K86">
        <v>13.65</v>
      </c>
      <c r="L86">
        <v>37.953200000000002</v>
      </c>
      <c r="M86">
        <v>5</v>
      </c>
    </row>
    <row r="87" spans="1:13" x14ac:dyDescent="0.35">
      <c r="A87" t="s">
        <v>10</v>
      </c>
      <c r="B87">
        <v>86</v>
      </c>
      <c r="C87" t="s">
        <v>130</v>
      </c>
      <c r="D87" t="s">
        <v>47</v>
      </c>
      <c r="E87">
        <v>2012</v>
      </c>
      <c r="F87" t="s">
        <v>13</v>
      </c>
      <c r="G87" t="s">
        <v>14</v>
      </c>
      <c r="H87" t="s">
        <v>15</v>
      </c>
      <c r="I87" t="s">
        <v>16</v>
      </c>
      <c r="J87">
        <v>2.7386121999999999E-2</v>
      </c>
      <c r="K87">
        <v>9.6</v>
      </c>
      <c r="L87">
        <v>259.23039999999997</v>
      </c>
      <c r="M87">
        <v>5</v>
      </c>
    </row>
    <row r="88" spans="1:13" x14ac:dyDescent="0.35">
      <c r="A88" t="s">
        <v>10</v>
      </c>
      <c r="B88">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v>88</v>
      </c>
      <c r="C89" t="s">
        <v>132</v>
      </c>
      <c r="D89" t="s">
        <v>47</v>
      </c>
      <c r="E89">
        <v>2012</v>
      </c>
      <c r="F89" t="s">
        <v>13</v>
      </c>
      <c r="G89" t="s">
        <v>14</v>
      </c>
      <c r="H89" t="s">
        <v>15</v>
      </c>
      <c r="I89" t="s">
        <v>16</v>
      </c>
      <c r="J89">
        <v>5.8207113999999997E-2</v>
      </c>
      <c r="K89">
        <v>12.3</v>
      </c>
      <c r="L89">
        <v>59.156199999999998</v>
      </c>
      <c r="M89">
        <v>5</v>
      </c>
    </row>
    <row r="90" spans="1:13" x14ac:dyDescent="0.35">
      <c r="A90" t="s">
        <v>17</v>
      </c>
      <c r="B90">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v>90</v>
      </c>
      <c r="C91" t="s">
        <v>134</v>
      </c>
      <c r="D91" t="s">
        <v>94</v>
      </c>
      <c r="E91">
        <v>2012</v>
      </c>
      <c r="F91" t="s">
        <v>13</v>
      </c>
      <c r="G91" t="s">
        <v>14</v>
      </c>
      <c r="H91" t="s">
        <v>15</v>
      </c>
      <c r="I91" t="s">
        <v>16</v>
      </c>
      <c r="J91">
        <v>0.18614827</v>
      </c>
      <c r="K91">
        <v>12.35</v>
      </c>
      <c r="L91">
        <v>78.232799999999997</v>
      </c>
      <c r="M91">
        <v>5</v>
      </c>
    </row>
    <row r="92" spans="1:13" x14ac:dyDescent="0.35">
      <c r="A92" t="s">
        <v>10</v>
      </c>
      <c r="B92">
        <v>91</v>
      </c>
      <c r="C92" t="s">
        <v>135</v>
      </c>
      <c r="D92" t="s">
        <v>66</v>
      </c>
      <c r="E92">
        <v>2012</v>
      </c>
      <c r="F92" t="s">
        <v>13</v>
      </c>
      <c r="G92" t="s">
        <v>14</v>
      </c>
      <c r="H92" t="s">
        <v>15</v>
      </c>
      <c r="I92" t="s">
        <v>16</v>
      </c>
      <c r="J92">
        <v>0.114294512</v>
      </c>
      <c r="K92">
        <v>20.7</v>
      </c>
      <c r="L92">
        <v>94.943600000000004</v>
      </c>
      <c r="M92">
        <v>5</v>
      </c>
    </row>
    <row r="93" spans="1:13" x14ac:dyDescent="0.35">
      <c r="A93" t="s">
        <v>17</v>
      </c>
      <c r="B93">
        <v>92</v>
      </c>
      <c r="C93" t="s">
        <v>136</v>
      </c>
      <c r="D93" t="s">
        <v>63</v>
      </c>
      <c r="E93">
        <v>2018</v>
      </c>
      <c r="F93" t="s">
        <v>137</v>
      </c>
      <c r="G93" t="s">
        <v>14</v>
      </c>
      <c r="H93" t="s">
        <v>26</v>
      </c>
      <c r="I93" t="s">
        <v>39</v>
      </c>
      <c r="J93">
        <v>2.3402893000000001E-2</v>
      </c>
      <c r="L93">
        <v>108.22799999999999</v>
      </c>
      <c r="M93">
        <v>5</v>
      </c>
    </row>
    <row r="94" spans="1:13" x14ac:dyDescent="0.35">
      <c r="A94" t="s">
        <v>17</v>
      </c>
      <c r="B94">
        <v>93</v>
      </c>
      <c r="C94" t="s">
        <v>138</v>
      </c>
      <c r="D94" t="s">
        <v>28</v>
      </c>
      <c r="E94">
        <v>2018</v>
      </c>
      <c r="F94" t="s">
        <v>137</v>
      </c>
      <c r="G94" t="s">
        <v>14</v>
      </c>
      <c r="H94" t="s">
        <v>26</v>
      </c>
      <c r="I94" t="s">
        <v>39</v>
      </c>
      <c r="J94">
        <v>0.196490902</v>
      </c>
      <c r="L94">
        <v>120.544</v>
      </c>
      <c r="M94">
        <v>5</v>
      </c>
    </row>
    <row r="95" spans="1:13" x14ac:dyDescent="0.35">
      <c r="A95" t="s">
        <v>17</v>
      </c>
      <c r="B95">
        <v>94</v>
      </c>
      <c r="C95" t="s">
        <v>139</v>
      </c>
      <c r="D95" t="s">
        <v>66</v>
      </c>
      <c r="E95">
        <v>2018</v>
      </c>
      <c r="F95" t="s">
        <v>137</v>
      </c>
      <c r="G95" t="s">
        <v>14</v>
      </c>
      <c r="H95" t="s">
        <v>26</v>
      </c>
      <c r="I95" t="s">
        <v>39</v>
      </c>
      <c r="J95">
        <v>0.24749009</v>
      </c>
      <c r="L95">
        <v>263.1884</v>
      </c>
      <c r="M95">
        <v>5</v>
      </c>
    </row>
    <row r="96" spans="1:13" x14ac:dyDescent="0.35">
      <c r="A96" t="s">
        <v>17</v>
      </c>
      <c r="B96">
        <v>95</v>
      </c>
      <c r="C96" t="s">
        <v>140</v>
      </c>
      <c r="D96" t="s">
        <v>12</v>
      </c>
      <c r="E96">
        <v>2018</v>
      </c>
      <c r="F96" t="s">
        <v>137</v>
      </c>
      <c r="G96" t="s">
        <v>14</v>
      </c>
      <c r="H96" t="s">
        <v>26</v>
      </c>
      <c r="I96" t="s">
        <v>39</v>
      </c>
      <c r="J96">
        <v>3.7824734999999998E-2</v>
      </c>
      <c r="L96">
        <v>109.72280000000001</v>
      </c>
      <c r="M96">
        <v>5</v>
      </c>
    </row>
    <row r="97" spans="1:13" x14ac:dyDescent="0.35">
      <c r="A97" t="s">
        <v>17</v>
      </c>
      <c r="B97">
        <v>96</v>
      </c>
      <c r="C97" t="s">
        <v>141</v>
      </c>
      <c r="D97" t="s">
        <v>12</v>
      </c>
      <c r="E97">
        <v>2018</v>
      </c>
      <c r="F97" t="s">
        <v>137</v>
      </c>
      <c r="G97" t="s">
        <v>14</v>
      </c>
      <c r="H97" t="s">
        <v>26</v>
      </c>
      <c r="I97" t="s">
        <v>39</v>
      </c>
      <c r="J97">
        <v>0.14210799800000001</v>
      </c>
      <c r="L97">
        <v>150.3734</v>
      </c>
      <c r="M97">
        <v>5</v>
      </c>
    </row>
    <row r="98" spans="1:13" x14ac:dyDescent="0.35">
      <c r="A98" t="s">
        <v>17</v>
      </c>
      <c r="B98">
        <v>97</v>
      </c>
      <c r="C98" t="s">
        <v>142</v>
      </c>
      <c r="D98" t="s">
        <v>12</v>
      </c>
      <c r="E98">
        <v>2018</v>
      </c>
      <c r="F98" t="s">
        <v>137</v>
      </c>
      <c r="G98" t="s">
        <v>14</v>
      </c>
      <c r="H98" t="s">
        <v>26</v>
      </c>
      <c r="I98" t="s">
        <v>39</v>
      </c>
      <c r="J98">
        <v>4.5062129999999999E-2</v>
      </c>
      <c r="L98">
        <v>167.54740000000001</v>
      </c>
      <c r="M98">
        <v>5</v>
      </c>
    </row>
    <row r="99" spans="1:13" x14ac:dyDescent="0.35">
      <c r="A99" t="s">
        <v>17</v>
      </c>
      <c r="B99">
        <v>98</v>
      </c>
      <c r="C99" t="s">
        <v>143</v>
      </c>
      <c r="D99" t="s">
        <v>19</v>
      </c>
      <c r="E99">
        <v>2018</v>
      </c>
      <c r="F99" t="s">
        <v>137</v>
      </c>
      <c r="G99" t="s">
        <v>14</v>
      </c>
      <c r="H99" t="s">
        <v>26</v>
      </c>
      <c r="I99" t="s">
        <v>39</v>
      </c>
      <c r="J99">
        <v>4.4000492000000002E-2</v>
      </c>
      <c r="L99">
        <v>148.27340000000001</v>
      </c>
      <c r="M99">
        <v>5</v>
      </c>
    </row>
    <row r="100" spans="1:13" x14ac:dyDescent="0.35">
      <c r="A100" t="s">
        <v>17</v>
      </c>
      <c r="B100">
        <v>99</v>
      </c>
      <c r="C100" t="s">
        <v>144</v>
      </c>
      <c r="D100" t="s">
        <v>19</v>
      </c>
      <c r="E100">
        <v>2018</v>
      </c>
      <c r="F100" t="s">
        <v>137</v>
      </c>
      <c r="G100" t="s">
        <v>14</v>
      </c>
      <c r="H100" t="s">
        <v>26</v>
      </c>
      <c r="I100" t="s">
        <v>39</v>
      </c>
      <c r="J100">
        <v>0</v>
      </c>
      <c r="L100">
        <v>123.473</v>
      </c>
      <c r="M100">
        <v>5</v>
      </c>
    </row>
    <row r="101" spans="1:13" x14ac:dyDescent="0.35">
      <c r="A101" t="s">
        <v>17</v>
      </c>
      <c r="B101">
        <v>100</v>
      </c>
      <c r="C101" t="s">
        <v>145</v>
      </c>
      <c r="D101" t="s">
        <v>19</v>
      </c>
      <c r="E101">
        <v>2018</v>
      </c>
      <c r="F101" t="s">
        <v>137</v>
      </c>
      <c r="G101" t="s">
        <v>14</v>
      </c>
      <c r="H101" t="s">
        <v>26</v>
      </c>
      <c r="I101" t="s">
        <v>39</v>
      </c>
      <c r="J101">
        <v>4.4607722000000002E-2</v>
      </c>
      <c r="L101">
        <v>145.976</v>
      </c>
      <c r="M101">
        <v>5</v>
      </c>
    </row>
    <row r="102" spans="1:13" x14ac:dyDescent="0.35">
      <c r="A102" t="s">
        <v>17</v>
      </c>
      <c r="B102">
        <v>101</v>
      </c>
      <c r="C102" t="s">
        <v>146</v>
      </c>
      <c r="D102" t="s">
        <v>19</v>
      </c>
      <c r="E102">
        <v>2018</v>
      </c>
      <c r="F102" t="s">
        <v>137</v>
      </c>
      <c r="G102" t="s">
        <v>14</v>
      </c>
      <c r="H102" t="s">
        <v>26</v>
      </c>
      <c r="I102" t="s">
        <v>39</v>
      </c>
      <c r="J102">
        <v>3.1024168000000001E-2</v>
      </c>
      <c r="L102">
        <v>210.52440000000001</v>
      </c>
      <c r="M102">
        <v>5</v>
      </c>
    </row>
    <row r="103" spans="1:13" x14ac:dyDescent="0.35">
      <c r="A103" t="s">
        <v>17</v>
      </c>
      <c r="B103">
        <v>102</v>
      </c>
      <c r="C103" t="s">
        <v>147</v>
      </c>
      <c r="D103" t="s">
        <v>41</v>
      </c>
      <c r="E103">
        <v>2018</v>
      </c>
      <c r="F103" t="s">
        <v>137</v>
      </c>
      <c r="G103" t="s">
        <v>14</v>
      </c>
      <c r="H103" t="s">
        <v>26</v>
      </c>
      <c r="I103" t="s">
        <v>39</v>
      </c>
      <c r="J103">
        <v>9.1924310999999995E-2</v>
      </c>
      <c r="L103">
        <v>189.75299999999999</v>
      </c>
      <c r="M103">
        <v>5</v>
      </c>
    </row>
    <row r="104" spans="1:13" x14ac:dyDescent="0.35">
      <c r="A104" t="s">
        <v>17</v>
      </c>
      <c r="B104">
        <v>103</v>
      </c>
      <c r="C104" t="s">
        <v>148</v>
      </c>
      <c r="D104" t="s">
        <v>41</v>
      </c>
      <c r="E104">
        <v>2018</v>
      </c>
      <c r="F104" t="s">
        <v>137</v>
      </c>
      <c r="G104" t="s">
        <v>14</v>
      </c>
      <c r="H104" t="s">
        <v>26</v>
      </c>
      <c r="I104" t="s">
        <v>39</v>
      </c>
      <c r="J104">
        <v>0.10318849099999999</v>
      </c>
      <c r="L104">
        <v>244.346</v>
      </c>
      <c r="M104">
        <v>5</v>
      </c>
    </row>
    <row r="105" spans="1:13" x14ac:dyDescent="0.35">
      <c r="A105" t="s">
        <v>17</v>
      </c>
      <c r="B105">
        <v>104</v>
      </c>
      <c r="C105" t="s">
        <v>51</v>
      </c>
      <c r="D105" t="s">
        <v>41</v>
      </c>
      <c r="E105">
        <v>2018</v>
      </c>
      <c r="F105" t="s">
        <v>137</v>
      </c>
      <c r="G105" t="s">
        <v>14</v>
      </c>
      <c r="H105" t="s">
        <v>26</v>
      </c>
      <c r="I105" t="s">
        <v>39</v>
      </c>
      <c r="J105">
        <v>0.158562708</v>
      </c>
      <c r="L105">
        <v>194.71100000000001</v>
      </c>
      <c r="M105">
        <v>5</v>
      </c>
    </row>
    <row r="106" spans="1:13" x14ac:dyDescent="0.35">
      <c r="A106" t="s">
        <v>17</v>
      </c>
      <c r="B106">
        <v>105</v>
      </c>
      <c r="C106" t="s">
        <v>149</v>
      </c>
      <c r="D106" t="s">
        <v>41</v>
      </c>
      <c r="E106">
        <v>2018</v>
      </c>
      <c r="F106" t="s">
        <v>137</v>
      </c>
      <c r="G106" t="s">
        <v>14</v>
      </c>
      <c r="H106" t="s">
        <v>26</v>
      </c>
      <c r="I106" t="s">
        <v>39</v>
      </c>
      <c r="J106">
        <v>6.7824456000000005E-2</v>
      </c>
      <c r="L106">
        <v>167.7842</v>
      </c>
      <c r="M106">
        <v>5</v>
      </c>
    </row>
    <row r="107" spans="1:13" x14ac:dyDescent="0.35">
      <c r="A107" t="s">
        <v>17</v>
      </c>
      <c r="B107">
        <v>106</v>
      </c>
      <c r="C107" t="s">
        <v>150</v>
      </c>
      <c r="D107" t="s">
        <v>53</v>
      </c>
      <c r="E107">
        <v>2018</v>
      </c>
      <c r="F107" t="s">
        <v>137</v>
      </c>
      <c r="G107" t="s">
        <v>14</v>
      </c>
      <c r="H107" t="s">
        <v>26</v>
      </c>
      <c r="I107" t="s">
        <v>39</v>
      </c>
      <c r="J107">
        <v>2.9299175E-2</v>
      </c>
      <c r="L107">
        <v>140.31800000000001</v>
      </c>
      <c r="M107">
        <v>5</v>
      </c>
    </row>
    <row r="108" spans="1:13" x14ac:dyDescent="0.35">
      <c r="A108" t="s">
        <v>17</v>
      </c>
      <c r="B108">
        <v>107</v>
      </c>
      <c r="C108" t="s">
        <v>151</v>
      </c>
      <c r="D108" t="s">
        <v>152</v>
      </c>
      <c r="E108">
        <v>2018</v>
      </c>
      <c r="F108" t="s">
        <v>137</v>
      </c>
      <c r="G108" t="s">
        <v>14</v>
      </c>
      <c r="H108" t="s">
        <v>26</v>
      </c>
      <c r="I108" t="s">
        <v>39</v>
      </c>
      <c r="J108">
        <v>0.12853255799999999</v>
      </c>
      <c r="L108">
        <v>34.221600000000002</v>
      </c>
      <c r="M108">
        <v>5</v>
      </c>
    </row>
    <row r="109" spans="1:13" x14ac:dyDescent="0.35">
      <c r="A109" t="s">
        <v>10</v>
      </c>
      <c r="B109">
        <v>108</v>
      </c>
      <c r="C109" t="s">
        <v>153</v>
      </c>
      <c r="D109" t="s">
        <v>73</v>
      </c>
      <c r="E109">
        <v>2018</v>
      </c>
      <c r="F109" t="s">
        <v>137</v>
      </c>
      <c r="G109" t="s">
        <v>14</v>
      </c>
      <c r="H109" t="s">
        <v>26</v>
      </c>
      <c r="I109" t="s">
        <v>39</v>
      </c>
      <c r="J109">
        <v>9.8606543000000005E-2</v>
      </c>
      <c r="L109">
        <v>232.73</v>
      </c>
      <c r="M109">
        <v>5</v>
      </c>
    </row>
    <row r="110" spans="1:13" x14ac:dyDescent="0.35">
      <c r="A110" t="s">
        <v>10</v>
      </c>
      <c r="B110">
        <v>109</v>
      </c>
      <c r="C110" t="s">
        <v>154</v>
      </c>
      <c r="D110" t="s">
        <v>28</v>
      </c>
      <c r="E110">
        <v>2018</v>
      </c>
      <c r="F110" t="s">
        <v>137</v>
      </c>
      <c r="G110" t="s">
        <v>14</v>
      </c>
      <c r="H110" t="s">
        <v>26</v>
      </c>
      <c r="I110" t="s">
        <v>39</v>
      </c>
      <c r="J110">
        <v>0.18223655499999999</v>
      </c>
      <c r="L110">
        <v>107.1622</v>
      </c>
      <c r="M110">
        <v>5</v>
      </c>
    </row>
    <row r="111" spans="1:13" x14ac:dyDescent="0.35">
      <c r="A111" t="s">
        <v>10</v>
      </c>
      <c r="B111">
        <v>110</v>
      </c>
      <c r="C111" t="s">
        <v>155</v>
      </c>
      <c r="D111" t="s">
        <v>12</v>
      </c>
      <c r="E111">
        <v>2018</v>
      </c>
      <c r="F111" t="s">
        <v>137</v>
      </c>
      <c r="G111" t="s">
        <v>14</v>
      </c>
      <c r="H111" t="s">
        <v>26</v>
      </c>
      <c r="I111" t="s">
        <v>39</v>
      </c>
      <c r="J111">
        <v>0.20916293599999999</v>
      </c>
      <c r="L111">
        <v>179.19759999999999</v>
      </c>
      <c r="M111">
        <v>5</v>
      </c>
    </row>
    <row r="112" spans="1:13" x14ac:dyDescent="0.35">
      <c r="A112" t="s">
        <v>10</v>
      </c>
      <c r="B112">
        <v>111</v>
      </c>
      <c r="C112" t="s">
        <v>156</v>
      </c>
      <c r="D112" t="s">
        <v>53</v>
      </c>
      <c r="E112">
        <v>2018</v>
      </c>
      <c r="F112" t="s">
        <v>137</v>
      </c>
      <c r="G112" t="s">
        <v>14</v>
      </c>
      <c r="H112" t="s">
        <v>26</v>
      </c>
      <c r="I112" t="s">
        <v>39</v>
      </c>
      <c r="J112">
        <v>7.7480626999999996E-2</v>
      </c>
      <c r="L112">
        <v>101.399</v>
      </c>
      <c r="M112">
        <v>5</v>
      </c>
    </row>
    <row r="113" spans="1:13" x14ac:dyDescent="0.35">
      <c r="A113" t="s">
        <v>10</v>
      </c>
      <c r="B113">
        <v>112</v>
      </c>
      <c r="C113" t="s">
        <v>157</v>
      </c>
      <c r="D113" t="s">
        <v>158</v>
      </c>
      <c r="E113">
        <v>2018</v>
      </c>
      <c r="F113" t="s">
        <v>137</v>
      </c>
      <c r="G113" t="s">
        <v>14</v>
      </c>
      <c r="H113" t="s">
        <v>26</v>
      </c>
      <c r="I113" t="s">
        <v>39</v>
      </c>
      <c r="J113">
        <v>1.2327846999999999E-2</v>
      </c>
      <c r="L113">
        <v>173.87379999999999</v>
      </c>
      <c r="M113">
        <v>5</v>
      </c>
    </row>
    <row r="114" spans="1:13" x14ac:dyDescent="0.35">
      <c r="A114" t="s">
        <v>10</v>
      </c>
      <c r="B114">
        <v>113</v>
      </c>
      <c r="C114" t="s">
        <v>159</v>
      </c>
      <c r="D114" t="s">
        <v>28</v>
      </c>
      <c r="E114">
        <v>2018</v>
      </c>
      <c r="F114" t="s">
        <v>137</v>
      </c>
      <c r="G114" t="s">
        <v>14</v>
      </c>
      <c r="H114" t="s">
        <v>26</v>
      </c>
      <c r="I114" t="s">
        <v>39</v>
      </c>
      <c r="J114">
        <v>1.4342659000000001E-2</v>
      </c>
      <c r="L114">
        <v>103.76739999999999</v>
      </c>
      <c r="M114">
        <v>5</v>
      </c>
    </row>
    <row r="115" spans="1:13" x14ac:dyDescent="0.35">
      <c r="A115" t="s">
        <v>10</v>
      </c>
      <c r="B115">
        <v>114</v>
      </c>
      <c r="C115" t="s">
        <v>160</v>
      </c>
      <c r="D115" t="s">
        <v>24</v>
      </c>
      <c r="E115">
        <v>2018</v>
      </c>
      <c r="F115" t="s">
        <v>137</v>
      </c>
      <c r="G115" t="s">
        <v>14</v>
      </c>
      <c r="H115" t="s">
        <v>26</v>
      </c>
      <c r="I115" t="s">
        <v>39</v>
      </c>
      <c r="J115">
        <v>0</v>
      </c>
      <c r="L115">
        <v>83.756600000000006</v>
      </c>
      <c r="M115">
        <v>5</v>
      </c>
    </row>
    <row r="116" spans="1:13" x14ac:dyDescent="0.3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v>132</v>
      </c>
      <c r="C133" t="s">
        <v>176</v>
      </c>
      <c r="D133" t="s">
        <v>47</v>
      </c>
      <c r="E133">
        <v>2016</v>
      </c>
      <c r="F133" t="s">
        <v>25</v>
      </c>
      <c r="G133" t="s">
        <v>14</v>
      </c>
      <c r="H133" t="s">
        <v>26</v>
      </c>
      <c r="I133" t="s">
        <v>16</v>
      </c>
      <c r="J133">
        <v>0.116542484</v>
      </c>
      <c r="K133">
        <v>17.7</v>
      </c>
      <c r="L133">
        <v>182.6266</v>
      </c>
      <c r="M133">
        <v>5</v>
      </c>
    </row>
    <row r="134" spans="1:13" x14ac:dyDescent="0.3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v>151</v>
      </c>
      <c r="C152" t="s">
        <v>65</v>
      </c>
      <c r="D152" t="s">
        <v>66</v>
      </c>
      <c r="E152">
        <v>2015</v>
      </c>
      <c r="F152" t="s">
        <v>33</v>
      </c>
      <c r="G152" t="s">
        <v>34</v>
      </c>
      <c r="H152" t="s">
        <v>15</v>
      </c>
      <c r="I152" t="s">
        <v>16</v>
      </c>
      <c r="J152">
        <v>0</v>
      </c>
      <c r="K152">
        <v>17.25</v>
      </c>
      <c r="L152">
        <v>171.57640000000001</v>
      </c>
      <c r="M152">
        <v>5</v>
      </c>
    </row>
    <row r="153" spans="1:13" x14ac:dyDescent="0.35">
      <c r="A153" t="s">
        <v>17</v>
      </c>
      <c r="B153">
        <v>152</v>
      </c>
      <c r="C153" t="s">
        <v>195</v>
      </c>
      <c r="D153" t="s">
        <v>19</v>
      </c>
      <c r="E153">
        <v>2020</v>
      </c>
      <c r="F153" t="s">
        <v>36</v>
      </c>
      <c r="G153" t="s">
        <v>34</v>
      </c>
      <c r="H153" t="s">
        <v>15</v>
      </c>
      <c r="I153" t="s">
        <v>16</v>
      </c>
      <c r="J153">
        <v>0</v>
      </c>
      <c r="K153">
        <v>12.15</v>
      </c>
      <c r="L153">
        <v>39.150599999999997</v>
      </c>
      <c r="M153">
        <v>5</v>
      </c>
    </row>
    <row r="154" spans="1:13" x14ac:dyDescent="0.3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211</v>
      </c>
      <c r="D171" t="s">
        <v>19</v>
      </c>
      <c r="E171">
        <v>2015</v>
      </c>
      <c r="F171" t="s">
        <v>33</v>
      </c>
      <c r="G171" t="s">
        <v>34</v>
      </c>
      <c r="H171" t="s">
        <v>26</v>
      </c>
      <c r="I171" t="s">
        <v>16</v>
      </c>
      <c r="J171">
        <v>4.1950753E-2</v>
      </c>
      <c r="K171">
        <v>10.8</v>
      </c>
      <c r="L171">
        <v>190.0214</v>
      </c>
      <c r="M171">
        <v>5</v>
      </c>
    </row>
    <row r="172" spans="1:13" x14ac:dyDescent="0.3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212</v>
      </c>
      <c r="D173" t="s">
        <v>41</v>
      </c>
      <c r="E173">
        <v>2015</v>
      </c>
      <c r="F173" t="s">
        <v>33</v>
      </c>
      <c r="G173" t="s">
        <v>34</v>
      </c>
      <c r="H173" t="s">
        <v>26</v>
      </c>
      <c r="I173" t="s">
        <v>16</v>
      </c>
      <c r="J173">
        <v>2.4937792E-2</v>
      </c>
      <c r="K173">
        <v>5.88</v>
      </c>
      <c r="L173">
        <v>148.4392</v>
      </c>
      <c r="M173">
        <v>5</v>
      </c>
    </row>
    <row r="174" spans="1:13" x14ac:dyDescent="0.3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217</v>
      </c>
      <c r="D178" t="s">
        <v>41</v>
      </c>
      <c r="E178">
        <v>2015</v>
      </c>
      <c r="F178" t="s">
        <v>33</v>
      </c>
      <c r="G178" t="s">
        <v>34</v>
      </c>
      <c r="H178" t="s">
        <v>26</v>
      </c>
      <c r="I178" t="s">
        <v>16</v>
      </c>
      <c r="J178">
        <v>1.433033E-2</v>
      </c>
      <c r="K178">
        <v>19.75</v>
      </c>
      <c r="L178">
        <v>104.2332</v>
      </c>
      <c r="M178">
        <v>5</v>
      </c>
    </row>
    <row r="179" spans="1:13" x14ac:dyDescent="0.3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v>180</v>
      </c>
      <c r="C181" t="s">
        <v>220</v>
      </c>
      <c r="D181" t="s">
        <v>32</v>
      </c>
      <c r="E181">
        <v>2015</v>
      </c>
      <c r="F181" t="s">
        <v>33</v>
      </c>
      <c r="G181" t="s">
        <v>34</v>
      </c>
      <c r="H181" t="s">
        <v>26</v>
      </c>
      <c r="I181" t="s">
        <v>16</v>
      </c>
      <c r="J181">
        <v>0</v>
      </c>
      <c r="K181">
        <v>5</v>
      </c>
      <c r="L181">
        <v>189.85300000000001</v>
      </c>
      <c r="M181">
        <v>5</v>
      </c>
    </row>
    <row r="182" spans="1:13" x14ac:dyDescent="0.3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v>198</v>
      </c>
      <c r="C199" t="s">
        <v>237</v>
      </c>
      <c r="D199" t="s">
        <v>19</v>
      </c>
      <c r="E199">
        <v>2020</v>
      </c>
      <c r="F199" t="s">
        <v>36</v>
      </c>
      <c r="G199" t="s">
        <v>34</v>
      </c>
      <c r="H199" t="s">
        <v>26</v>
      </c>
      <c r="I199" t="s">
        <v>16</v>
      </c>
      <c r="J199">
        <v>0</v>
      </c>
      <c r="K199">
        <v>11.395</v>
      </c>
      <c r="L199">
        <v>149.27080000000001</v>
      </c>
      <c r="M199">
        <v>5</v>
      </c>
    </row>
    <row r="200" spans="1:13" x14ac:dyDescent="0.3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v>202</v>
      </c>
      <c r="C203" t="s">
        <v>148</v>
      </c>
      <c r="D203" t="s">
        <v>41</v>
      </c>
      <c r="E203">
        <v>2020</v>
      </c>
      <c r="F203" t="s">
        <v>36</v>
      </c>
      <c r="G203" t="s">
        <v>34</v>
      </c>
      <c r="H203" t="s">
        <v>30</v>
      </c>
      <c r="I203" t="s">
        <v>16</v>
      </c>
      <c r="J203">
        <v>5.9268885E-2</v>
      </c>
      <c r="K203">
        <v>20.25</v>
      </c>
      <c r="L203">
        <v>246.446</v>
      </c>
      <c r="M203">
        <v>5</v>
      </c>
    </row>
    <row r="204" spans="1:13" x14ac:dyDescent="0.3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v>207</v>
      </c>
      <c r="C208" t="s">
        <v>244</v>
      </c>
      <c r="D208" t="s">
        <v>63</v>
      </c>
      <c r="E208">
        <v>2020</v>
      </c>
      <c r="F208" t="s">
        <v>36</v>
      </c>
      <c r="G208" t="s">
        <v>34</v>
      </c>
      <c r="H208" t="s">
        <v>30</v>
      </c>
      <c r="I208" t="s">
        <v>16</v>
      </c>
      <c r="J208">
        <v>0.111931193</v>
      </c>
      <c r="K208">
        <v>17.75</v>
      </c>
      <c r="L208">
        <v>108.8912</v>
      </c>
      <c r="M208">
        <v>5</v>
      </c>
    </row>
    <row r="209" spans="1:13" x14ac:dyDescent="0.3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v>212</v>
      </c>
      <c r="C213" t="s">
        <v>249</v>
      </c>
      <c r="D213" t="s">
        <v>28</v>
      </c>
      <c r="E213">
        <v>2015</v>
      </c>
      <c r="F213" t="s">
        <v>33</v>
      </c>
      <c r="G213" t="s">
        <v>34</v>
      </c>
      <c r="H213" t="s">
        <v>30</v>
      </c>
      <c r="I213" t="s">
        <v>16</v>
      </c>
      <c r="J213">
        <v>3.0905215E-2</v>
      </c>
      <c r="K213">
        <v>8.42</v>
      </c>
      <c r="L213">
        <v>227.6352</v>
      </c>
      <c r="M213">
        <v>5</v>
      </c>
    </row>
    <row r="214" spans="1:13" x14ac:dyDescent="0.3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251</v>
      </c>
      <c r="D215" t="s">
        <v>28</v>
      </c>
      <c r="E215">
        <v>2015</v>
      </c>
      <c r="F215" t="s">
        <v>33</v>
      </c>
      <c r="G215" t="s">
        <v>34</v>
      </c>
      <c r="H215" t="s">
        <v>30</v>
      </c>
      <c r="I215" t="s">
        <v>16</v>
      </c>
      <c r="J215">
        <v>1.2036432E-2</v>
      </c>
      <c r="K215">
        <v>17.2</v>
      </c>
      <c r="L215">
        <v>165.7184</v>
      </c>
      <c r="M215">
        <v>5</v>
      </c>
    </row>
    <row r="216" spans="1:13" x14ac:dyDescent="0.3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v>222</v>
      </c>
      <c r="C223" t="s">
        <v>258</v>
      </c>
      <c r="D223" t="s">
        <v>47</v>
      </c>
      <c r="E223">
        <v>2015</v>
      </c>
      <c r="F223" t="s">
        <v>33</v>
      </c>
      <c r="G223" t="s">
        <v>34</v>
      </c>
      <c r="H223" t="s">
        <v>30</v>
      </c>
      <c r="I223" t="s">
        <v>16</v>
      </c>
      <c r="J223">
        <v>0</v>
      </c>
      <c r="K223">
        <v>6.61</v>
      </c>
      <c r="L223">
        <v>186.4898</v>
      </c>
      <c r="M223">
        <v>5</v>
      </c>
    </row>
    <row r="224" spans="1:13" x14ac:dyDescent="0.3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v>239</v>
      </c>
      <c r="C240" t="s">
        <v>129</v>
      </c>
      <c r="D240" t="s">
        <v>53</v>
      </c>
      <c r="E240">
        <v>2020</v>
      </c>
      <c r="F240" t="s">
        <v>36</v>
      </c>
      <c r="G240" t="s">
        <v>34</v>
      </c>
      <c r="H240" t="s">
        <v>15</v>
      </c>
      <c r="I240" t="s">
        <v>16</v>
      </c>
      <c r="J240">
        <v>0</v>
      </c>
      <c r="K240">
        <v>13.65</v>
      </c>
      <c r="L240">
        <v>36.653199999999998</v>
      </c>
      <c r="M240">
        <v>5</v>
      </c>
    </row>
    <row r="241" spans="1:13" x14ac:dyDescent="0.3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v>273</v>
      </c>
      <c r="C274" t="s">
        <v>301</v>
      </c>
      <c r="D274" t="s">
        <v>41</v>
      </c>
      <c r="E274">
        <v>2017</v>
      </c>
      <c r="F274" t="s">
        <v>49</v>
      </c>
      <c r="G274" t="s">
        <v>34</v>
      </c>
      <c r="H274" t="s">
        <v>26</v>
      </c>
      <c r="I274" t="s">
        <v>16</v>
      </c>
      <c r="J274">
        <v>0</v>
      </c>
      <c r="K274">
        <v>18.75</v>
      </c>
      <c r="L274">
        <v>213.3218</v>
      </c>
      <c r="M274">
        <v>5</v>
      </c>
    </row>
    <row r="275" spans="1:13" x14ac:dyDescent="0.3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v>284</v>
      </c>
      <c r="C285" t="s">
        <v>310</v>
      </c>
      <c r="D285" t="s">
        <v>94</v>
      </c>
      <c r="E285">
        <v>2017</v>
      </c>
      <c r="F285" t="s">
        <v>49</v>
      </c>
      <c r="G285" t="s">
        <v>34</v>
      </c>
      <c r="H285" t="s">
        <v>26</v>
      </c>
      <c r="I285" t="s">
        <v>16</v>
      </c>
      <c r="J285">
        <v>5.8719726E-2</v>
      </c>
      <c r="K285">
        <v>11.65</v>
      </c>
      <c r="L285">
        <v>171.1422</v>
      </c>
      <c r="M285">
        <v>5</v>
      </c>
    </row>
    <row r="286" spans="1:13" x14ac:dyDescent="0.3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v>304</v>
      </c>
      <c r="C305" t="s">
        <v>327</v>
      </c>
      <c r="D305" t="s">
        <v>41</v>
      </c>
      <c r="E305">
        <v>2011</v>
      </c>
      <c r="F305" t="s">
        <v>38</v>
      </c>
      <c r="G305" t="s">
        <v>21</v>
      </c>
      <c r="H305" t="s">
        <v>15</v>
      </c>
      <c r="I305" t="s">
        <v>39</v>
      </c>
      <c r="J305">
        <v>0.211306673</v>
      </c>
      <c r="K305">
        <v>17</v>
      </c>
      <c r="L305">
        <v>125.1362</v>
      </c>
      <c r="M305">
        <v>5</v>
      </c>
    </row>
    <row r="306" spans="1:13" x14ac:dyDescent="0.3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v>310</v>
      </c>
      <c r="C311" t="s">
        <v>180</v>
      </c>
      <c r="D311" t="s">
        <v>32</v>
      </c>
      <c r="E311">
        <v>2011</v>
      </c>
      <c r="F311" t="s">
        <v>38</v>
      </c>
      <c r="G311" t="s">
        <v>21</v>
      </c>
      <c r="H311" t="s">
        <v>30</v>
      </c>
      <c r="I311" t="s">
        <v>39</v>
      </c>
      <c r="J311">
        <v>5.1544658E-2</v>
      </c>
      <c r="K311">
        <v>13.85</v>
      </c>
      <c r="L311">
        <v>142.5154</v>
      </c>
      <c r="M311">
        <v>5</v>
      </c>
    </row>
    <row r="312" spans="1:13" x14ac:dyDescent="0.3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v>320</v>
      </c>
      <c r="C321" t="s">
        <v>342</v>
      </c>
      <c r="D321" t="s">
        <v>56</v>
      </c>
      <c r="E321">
        <v>2014</v>
      </c>
      <c r="F321" t="s">
        <v>29</v>
      </c>
      <c r="G321" t="s">
        <v>21</v>
      </c>
      <c r="H321" t="s">
        <v>30</v>
      </c>
      <c r="I321" t="s">
        <v>16</v>
      </c>
      <c r="J321">
        <v>2.0698674E-2</v>
      </c>
      <c r="K321">
        <v>13.15</v>
      </c>
      <c r="L321">
        <v>86.3566</v>
      </c>
      <c r="M321">
        <v>5</v>
      </c>
    </row>
    <row r="322" spans="1:13" x14ac:dyDescent="0.35">
      <c r="A322" t="s">
        <v>17</v>
      </c>
      <c r="B322">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345</v>
      </c>
      <c r="D325" t="s">
        <v>24</v>
      </c>
      <c r="E325">
        <v>2014</v>
      </c>
      <c r="F325" t="s">
        <v>29</v>
      </c>
      <c r="G325" t="s">
        <v>21</v>
      </c>
      <c r="H325" t="s">
        <v>30</v>
      </c>
      <c r="I325" t="s">
        <v>16</v>
      </c>
      <c r="J325">
        <v>0.124348482</v>
      </c>
      <c r="K325">
        <v>18</v>
      </c>
      <c r="L325">
        <v>118.3124</v>
      </c>
      <c r="M325">
        <v>5</v>
      </c>
    </row>
    <row r="326" spans="1:13" x14ac:dyDescent="0.3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v>332</v>
      </c>
      <c r="C333" t="s">
        <v>351</v>
      </c>
      <c r="D333" t="s">
        <v>41</v>
      </c>
      <c r="E333">
        <v>2014</v>
      </c>
      <c r="F333" t="s">
        <v>29</v>
      </c>
      <c r="G333" t="s">
        <v>21</v>
      </c>
      <c r="H333" t="s">
        <v>30</v>
      </c>
      <c r="I333" t="s">
        <v>16</v>
      </c>
      <c r="J333">
        <v>0.160529322</v>
      </c>
      <c r="K333">
        <v>15.7</v>
      </c>
      <c r="L333">
        <v>59.2562</v>
      </c>
      <c r="M333">
        <v>5</v>
      </c>
    </row>
    <row r="334" spans="1:13" x14ac:dyDescent="0.3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218</v>
      </c>
      <c r="D336" t="s">
        <v>47</v>
      </c>
      <c r="E336">
        <v>2014</v>
      </c>
      <c r="F336" t="s">
        <v>29</v>
      </c>
      <c r="G336" t="s">
        <v>21</v>
      </c>
      <c r="H336" t="s">
        <v>30</v>
      </c>
      <c r="I336" t="s">
        <v>16</v>
      </c>
      <c r="J336">
        <v>3.315162E-2</v>
      </c>
      <c r="K336">
        <v>12.85</v>
      </c>
      <c r="L336">
        <v>170.6422</v>
      </c>
      <c r="M336">
        <v>5</v>
      </c>
    </row>
    <row r="337" spans="1:13" x14ac:dyDescent="0.3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359</v>
      </c>
      <c r="D343" t="s">
        <v>12</v>
      </c>
      <c r="E343">
        <v>2014</v>
      </c>
      <c r="F343" t="s">
        <v>29</v>
      </c>
      <c r="G343" t="s">
        <v>21</v>
      </c>
      <c r="H343" t="s">
        <v>30</v>
      </c>
      <c r="I343" t="s">
        <v>16</v>
      </c>
      <c r="J343">
        <v>0</v>
      </c>
      <c r="K343">
        <v>10.3</v>
      </c>
      <c r="L343">
        <v>115.0176</v>
      </c>
      <c r="M343">
        <v>5</v>
      </c>
    </row>
    <row r="344" spans="1:13" x14ac:dyDescent="0.35">
      <c r="A344" t="s">
        <v>10</v>
      </c>
      <c r="B344">
        <v>343</v>
      </c>
      <c r="C344" t="s">
        <v>360</v>
      </c>
      <c r="D344" t="s">
        <v>12</v>
      </c>
      <c r="E344">
        <v>2014</v>
      </c>
      <c r="F344" t="s">
        <v>29</v>
      </c>
      <c r="G344" t="s">
        <v>21</v>
      </c>
      <c r="H344" t="s">
        <v>30</v>
      </c>
      <c r="I344" t="s">
        <v>16</v>
      </c>
      <c r="J344">
        <v>0.152001201</v>
      </c>
      <c r="K344">
        <v>12.85</v>
      </c>
      <c r="L344">
        <v>252.3382</v>
      </c>
      <c r="M344">
        <v>5</v>
      </c>
    </row>
    <row r="345" spans="1:13" x14ac:dyDescent="0.35">
      <c r="A345" t="s">
        <v>10</v>
      </c>
      <c r="B345">
        <v>344</v>
      </c>
      <c r="C345" t="s">
        <v>361</v>
      </c>
      <c r="D345" t="s">
        <v>12</v>
      </c>
      <c r="E345">
        <v>2014</v>
      </c>
      <c r="F345" t="s">
        <v>29</v>
      </c>
      <c r="G345" t="s">
        <v>21</v>
      </c>
      <c r="H345" t="s">
        <v>30</v>
      </c>
      <c r="I345" t="s">
        <v>16</v>
      </c>
      <c r="J345">
        <v>4.2923071E-2</v>
      </c>
      <c r="K345">
        <v>14.6</v>
      </c>
      <c r="L345">
        <v>109.8254</v>
      </c>
      <c r="M345">
        <v>5</v>
      </c>
    </row>
    <row r="346" spans="1:13" x14ac:dyDescent="0.3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374</v>
      </c>
      <c r="D361" t="s">
        <v>60</v>
      </c>
      <c r="E361">
        <v>2022</v>
      </c>
      <c r="F361" t="s">
        <v>20</v>
      </c>
      <c r="G361" t="s">
        <v>21</v>
      </c>
      <c r="H361" t="s">
        <v>15</v>
      </c>
      <c r="I361" t="s">
        <v>22</v>
      </c>
      <c r="J361">
        <v>4.4430561E-2</v>
      </c>
      <c r="K361">
        <v>18.25</v>
      </c>
      <c r="L361">
        <v>174.208</v>
      </c>
      <c r="M361">
        <v>5</v>
      </c>
    </row>
    <row r="362" spans="1:13" x14ac:dyDescent="0.3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v>369</v>
      </c>
      <c r="C370" t="s">
        <v>382</v>
      </c>
      <c r="D370" t="s">
        <v>53</v>
      </c>
      <c r="E370">
        <v>2022</v>
      </c>
      <c r="F370" t="s">
        <v>20</v>
      </c>
      <c r="G370" t="s">
        <v>21</v>
      </c>
      <c r="H370" t="s">
        <v>15</v>
      </c>
      <c r="I370" t="s">
        <v>22</v>
      </c>
      <c r="J370">
        <v>0.123531974</v>
      </c>
      <c r="K370">
        <v>12.65</v>
      </c>
      <c r="L370">
        <v>108.2938</v>
      </c>
      <c r="M370">
        <v>5</v>
      </c>
    </row>
    <row r="371" spans="1:13" x14ac:dyDescent="0.3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v>375</v>
      </c>
      <c r="C376" t="s">
        <v>387</v>
      </c>
      <c r="D376" t="s">
        <v>47</v>
      </c>
      <c r="E376">
        <v>2022</v>
      </c>
      <c r="F376" t="s">
        <v>20</v>
      </c>
      <c r="G376" t="s">
        <v>21</v>
      </c>
      <c r="H376" t="s">
        <v>15</v>
      </c>
      <c r="I376" t="s">
        <v>22</v>
      </c>
      <c r="J376">
        <v>0.100055625</v>
      </c>
      <c r="K376">
        <v>10</v>
      </c>
      <c r="L376">
        <v>113.3544</v>
      </c>
      <c r="M376">
        <v>5</v>
      </c>
    </row>
    <row r="377" spans="1:13" x14ac:dyDescent="0.3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v>380</v>
      </c>
      <c r="C381" t="s">
        <v>391</v>
      </c>
      <c r="D381" t="s">
        <v>32</v>
      </c>
      <c r="E381">
        <v>2022</v>
      </c>
      <c r="F381" t="s">
        <v>20</v>
      </c>
      <c r="G381" t="s">
        <v>21</v>
      </c>
      <c r="H381" t="s">
        <v>15</v>
      </c>
      <c r="I381" t="s">
        <v>22</v>
      </c>
      <c r="J381">
        <v>0</v>
      </c>
      <c r="K381">
        <v>7.97</v>
      </c>
      <c r="L381">
        <v>172.04220000000001</v>
      </c>
      <c r="M381">
        <v>5</v>
      </c>
    </row>
    <row r="382" spans="1:13" x14ac:dyDescent="0.3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394</v>
      </c>
      <c r="D386" t="s">
        <v>28</v>
      </c>
      <c r="E386">
        <v>2022</v>
      </c>
      <c r="F386" t="s">
        <v>20</v>
      </c>
      <c r="G386" t="s">
        <v>21</v>
      </c>
      <c r="H386" t="s">
        <v>15</v>
      </c>
      <c r="I386" t="s">
        <v>22</v>
      </c>
      <c r="J386">
        <v>0</v>
      </c>
      <c r="K386">
        <v>14.5</v>
      </c>
      <c r="L386">
        <v>41.045400000000001</v>
      </c>
      <c r="M386">
        <v>5</v>
      </c>
    </row>
    <row r="387" spans="1:13" x14ac:dyDescent="0.35">
      <c r="A387" t="s">
        <v>10</v>
      </c>
      <c r="B387">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v>387</v>
      </c>
      <c r="C388" t="s">
        <v>396</v>
      </c>
      <c r="D388" t="s">
        <v>66</v>
      </c>
      <c r="E388">
        <v>2022</v>
      </c>
      <c r="F388" t="s">
        <v>20</v>
      </c>
      <c r="G388" t="s">
        <v>21</v>
      </c>
      <c r="H388" t="s">
        <v>15</v>
      </c>
      <c r="I388" t="s">
        <v>22</v>
      </c>
      <c r="J388">
        <v>0.184041545</v>
      </c>
      <c r="K388">
        <v>18.25</v>
      </c>
      <c r="L388">
        <v>110.157</v>
      </c>
      <c r="M388">
        <v>5</v>
      </c>
    </row>
    <row r="389" spans="1:13" x14ac:dyDescent="0.3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v>394</v>
      </c>
      <c r="C395" t="s">
        <v>200</v>
      </c>
      <c r="D395" t="s">
        <v>28</v>
      </c>
      <c r="E395">
        <v>2018</v>
      </c>
      <c r="F395" t="s">
        <v>44</v>
      </c>
      <c r="G395" t="s">
        <v>21</v>
      </c>
      <c r="H395" t="s">
        <v>15</v>
      </c>
      <c r="I395" t="s">
        <v>45</v>
      </c>
      <c r="J395">
        <v>8.9243504000000001E-2</v>
      </c>
      <c r="L395">
        <v>139.24959999999999</v>
      </c>
      <c r="M395">
        <v>5</v>
      </c>
    </row>
    <row r="396" spans="1:13" x14ac:dyDescent="0.35">
      <c r="A396" t="s">
        <v>17</v>
      </c>
      <c r="B396">
        <v>395</v>
      </c>
      <c r="C396" t="s">
        <v>403</v>
      </c>
      <c r="D396" t="s">
        <v>28</v>
      </c>
      <c r="E396">
        <v>2018</v>
      </c>
      <c r="F396" t="s">
        <v>44</v>
      </c>
      <c r="G396" t="s">
        <v>21</v>
      </c>
      <c r="H396" t="s">
        <v>15</v>
      </c>
      <c r="I396" t="s">
        <v>45</v>
      </c>
      <c r="J396">
        <v>2.6552056000000001E-2</v>
      </c>
      <c r="L396">
        <v>56.224600000000002</v>
      </c>
      <c r="M396">
        <v>5</v>
      </c>
    </row>
    <row r="397" spans="1:13" x14ac:dyDescent="0.35">
      <c r="A397" t="s">
        <v>17</v>
      </c>
      <c r="B397">
        <v>396</v>
      </c>
      <c r="C397" t="s">
        <v>404</v>
      </c>
      <c r="D397" t="s">
        <v>24</v>
      </c>
      <c r="E397">
        <v>2018</v>
      </c>
      <c r="F397" t="s">
        <v>44</v>
      </c>
      <c r="G397" t="s">
        <v>21</v>
      </c>
      <c r="H397" t="s">
        <v>15</v>
      </c>
      <c r="I397" t="s">
        <v>45</v>
      </c>
      <c r="J397">
        <v>8.7929070000000008E-3</v>
      </c>
      <c r="L397">
        <v>96.738399999999999</v>
      </c>
      <c r="M397">
        <v>5</v>
      </c>
    </row>
    <row r="398" spans="1:13" x14ac:dyDescent="0.35">
      <c r="A398" t="s">
        <v>17</v>
      </c>
      <c r="B398">
        <v>397</v>
      </c>
      <c r="C398" t="s">
        <v>405</v>
      </c>
      <c r="D398" t="s">
        <v>24</v>
      </c>
      <c r="E398">
        <v>2018</v>
      </c>
      <c r="F398" t="s">
        <v>44</v>
      </c>
      <c r="G398" t="s">
        <v>21</v>
      </c>
      <c r="H398" t="s">
        <v>15</v>
      </c>
      <c r="I398" t="s">
        <v>45</v>
      </c>
      <c r="J398">
        <v>5.3038775000000003E-2</v>
      </c>
      <c r="L398">
        <v>59.590400000000002</v>
      </c>
      <c r="M398">
        <v>5</v>
      </c>
    </row>
    <row r="399" spans="1:13" x14ac:dyDescent="0.35">
      <c r="A399" t="s">
        <v>17</v>
      </c>
      <c r="B399">
        <v>398</v>
      </c>
      <c r="C399" t="s">
        <v>406</v>
      </c>
      <c r="D399" t="s">
        <v>24</v>
      </c>
      <c r="E399">
        <v>2018</v>
      </c>
      <c r="F399" t="s">
        <v>44</v>
      </c>
      <c r="G399" t="s">
        <v>21</v>
      </c>
      <c r="H399" t="s">
        <v>15</v>
      </c>
      <c r="I399" t="s">
        <v>45</v>
      </c>
      <c r="J399">
        <v>3.2470107999999998E-2</v>
      </c>
      <c r="L399">
        <v>148.9392</v>
      </c>
      <c r="M399">
        <v>5</v>
      </c>
    </row>
    <row r="400" spans="1:13" x14ac:dyDescent="0.35">
      <c r="A400" t="s">
        <v>17</v>
      </c>
      <c r="B400">
        <v>399</v>
      </c>
      <c r="C400" t="s">
        <v>407</v>
      </c>
      <c r="D400" t="s">
        <v>24</v>
      </c>
      <c r="E400">
        <v>2018</v>
      </c>
      <c r="F400" t="s">
        <v>44</v>
      </c>
      <c r="G400" t="s">
        <v>21</v>
      </c>
      <c r="H400" t="s">
        <v>15</v>
      </c>
      <c r="I400" t="s">
        <v>45</v>
      </c>
      <c r="J400">
        <v>9.5331432999999993E-2</v>
      </c>
      <c r="L400">
        <v>125.56780000000001</v>
      </c>
      <c r="M400">
        <v>5</v>
      </c>
    </row>
    <row r="401" spans="1:13" x14ac:dyDescent="0.35">
      <c r="A401" t="s">
        <v>17</v>
      </c>
      <c r="B401">
        <v>400</v>
      </c>
      <c r="C401" t="s">
        <v>408</v>
      </c>
      <c r="D401" t="s">
        <v>12</v>
      </c>
      <c r="E401">
        <v>2018</v>
      </c>
      <c r="F401" t="s">
        <v>44</v>
      </c>
      <c r="G401" t="s">
        <v>21</v>
      </c>
      <c r="H401" t="s">
        <v>15</v>
      </c>
      <c r="I401" t="s">
        <v>45</v>
      </c>
      <c r="J401">
        <v>0</v>
      </c>
      <c r="L401">
        <v>231.96420000000001</v>
      </c>
      <c r="M401">
        <v>5</v>
      </c>
    </row>
    <row r="402" spans="1:13" x14ac:dyDescent="0.35">
      <c r="A402" t="s">
        <v>17</v>
      </c>
      <c r="B402">
        <v>401</v>
      </c>
      <c r="C402" t="s">
        <v>42</v>
      </c>
      <c r="D402" t="s">
        <v>12</v>
      </c>
      <c r="E402">
        <v>2018</v>
      </c>
      <c r="F402" t="s">
        <v>44</v>
      </c>
      <c r="G402" t="s">
        <v>21</v>
      </c>
      <c r="H402" t="s">
        <v>15</v>
      </c>
      <c r="I402" t="s">
        <v>45</v>
      </c>
      <c r="J402">
        <v>2.4032484E-2</v>
      </c>
      <c r="L402">
        <v>124.973</v>
      </c>
      <c r="M402">
        <v>5</v>
      </c>
    </row>
    <row r="403" spans="1:13" x14ac:dyDescent="0.35">
      <c r="A403" t="s">
        <v>17</v>
      </c>
      <c r="B403">
        <v>402</v>
      </c>
      <c r="C403" t="s">
        <v>59</v>
      </c>
      <c r="D403" t="s">
        <v>60</v>
      </c>
      <c r="E403">
        <v>2018</v>
      </c>
      <c r="F403" t="s">
        <v>44</v>
      </c>
      <c r="G403" t="s">
        <v>21</v>
      </c>
      <c r="H403" t="s">
        <v>15</v>
      </c>
      <c r="I403" t="s">
        <v>45</v>
      </c>
      <c r="J403">
        <v>1.6745263999999999E-2</v>
      </c>
      <c r="L403">
        <v>180.76599999999999</v>
      </c>
      <c r="M403">
        <v>5</v>
      </c>
    </row>
    <row r="404" spans="1:13" x14ac:dyDescent="0.35">
      <c r="A404" t="s">
        <v>17</v>
      </c>
      <c r="B404">
        <v>403</v>
      </c>
      <c r="C404" t="s">
        <v>409</v>
      </c>
      <c r="D404" t="s">
        <v>19</v>
      </c>
      <c r="E404">
        <v>2018</v>
      </c>
      <c r="F404" t="s">
        <v>44</v>
      </c>
      <c r="G404" t="s">
        <v>21</v>
      </c>
      <c r="H404" t="s">
        <v>15</v>
      </c>
      <c r="I404" t="s">
        <v>45</v>
      </c>
      <c r="J404">
        <v>5.8198141000000002E-2</v>
      </c>
      <c r="L404">
        <v>110.45440000000001</v>
      </c>
      <c r="M404">
        <v>5</v>
      </c>
    </row>
    <row r="405" spans="1:13" x14ac:dyDescent="0.35">
      <c r="A405" t="s">
        <v>17</v>
      </c>
      <c r="B405">
        <v>404</v>
      </c>
      <c r="C405" t="s">
        <v>410</v>
      </c>
      <c r="D405" t="s">
        <v>41</v>
      </c>
      <c r="E405">
        <v>2018</v>
      </c>
      <c r="F405" t="s">
        <v>44</v>
      </c>
      <c r="G405" t="s">
        <v>21</v>
      </c>
      <c r="H405" t="s">
        <v>15</v>
      </c>
      <c r="I405" t="s">
        <v>45</v>
      </c>
      <c r="J405">
        <v>9.2564193000000003E-2</v>
      </c>
      <c r="L405">
        <v>53.495600000000003</v>
      </c>
      <c r="M405">
        <v>5</v>
      </c>
    </row>
    <row r="406" spans="1:13" x14ac:dyDescent="0.35">
      <c r="A406" t="s">
        <v>17</v>
      </c>
      <c r="B406">
        <v>405</v>
      </c>
      <c r="C406" t="s">
        <v>411</v>
      </c>
      <c r="D406" t="s">
        <v>41</v>
      </c>
      <c r="E406">
        <v>2018</v>
      </c>
      <c r="F406" t="s">
        <v>44</v>
      </c>
      <c r="G406" t="s">
        <v>21</v>
      </c>
      <c r="H406" t="s">
        <v>15</v>
      </c>
      <c r="I406" t="s">
        <v>45</v>
      </c>
      <c r="J406">
        <v>0.12929931</v>
      </c>
      <c r="L406">
        <v>178.23699999999999</v>
      </c>
      <c r="M406">
        <v>5</v>
      </c>
    </row>
    <row r="407" spans="1:13" x14ac:dyDescent="0.35">
      <c r="A407" t="s">
        <v>17</v>
      </c>
      <c r="B407">
        <v>406</v>
      </c>
      <c r="C407" t="s">
        <v>412</v>
      </c>
      <c r="D407" t="s">
        <v>41</v>
      </c>
      <c r="E407">
        <v>2018</v>
      </c>
      <c r="F407" t="s">
        <v>44</v>
      </c>
      <c r="G407" t="s">
        <v>21</v>
      </c>
      <c r="H407" t="s">
        <v>15</v>
      </c>
      <c r="I407" t="s">
        <v>45</v>
      </c>
      <c r="J407">
        <v>7.3879939000000006E-2</v>
      </c>
      <c r="L407">
        <v>94.046199999999999</v>
      </c>
      <c r="M407">
        <v>5</v>
      </c>
    </row>
    <row r="408" spans="1:13" x14ac:dyDescent="0.35">
      <c r="A408" t="s">
        <v>17</v>
      </c>
      <c r="B408">
        <v>407</v>
      </c>
      <c r="C408" t="s">
        <v>379</v>
      </c>
      <c r="D408" t="s">
        <v>41</v>
      </c>
      <c r="E408">
        <v>2018</v>
      </c>
      <c r="F408" t="s">
        <v>44</v>
      </c>
      <c r="G408" t="s">
        <v>21</v>
      </c>
      <c r="H408" t="s">
        <v>15</v>
      </c>
      <c r="I408" t="s">
        <v>45</v>
      </c>
      <c r="J408">
        <v>7.6183666999999997E-2</v>
      </c>
      <c r="L408">
        <v>245.64599999999999</v>
      </c>
      <c r="M408">
        <v>5</v>
      </c>
    </row>
    <row r="409" spans="1:13" x14ac:dyDescent="0.35">
      <c r="A409" t="s">
        <v>17</v>
      </c>
      <c r="B409">
        <v>408</v>
      </c>
      <c r="C409" t="s">
        <v>114</v>
      </c>
      <c r="D409" t="s">
        <v>41</v>
      </c>
      <c r="E409">
        <v>2018</v>
      </c>
      <c r="F409" t="s">
        <v>44</v>
      </c>
      <c r="G409" t="s">
        <v>21</v>
      </c>
      <c r="H409" t="s">
        <v>15</v>
      </c>
      <c r="I409" t="s">
        <v>45</v>
      </c>
      <c r="J409">
        <v>6.6969525000000002E-2</v>
      </c>
      <c r="L409">
        <v>39.279600000000002</v>
      </c>
      <c r="M409">
        <v>5</v>
      </c>
    </row>
    <row r="410" spans="1:13" x14ac:dyDescent="0.35">
      <c r="A410" t="s">
        <v>17</v>
      </c>
      <c r="B410">
        <v>409</v>
      </c>
      <c r="C410" t="s">
        <v>381</v>
      </c>
      <c r="D410" t="s">
        <v>41</v>
      </c>
      <c r="E410">
        <v>2018</v>
      </c>
      <c r="F410" t="s">
        <v>44</v>
      </c>
      <c r="G410" t="s">
        <v>21</v>
      </c>
      <c r="H410" t="s">
        <v>15</v>
      </c>
      <c r="I410" t="s">
        <v>45</v>
      </c>
      <c r="J410">
        <v>1.4153743E-2</v>
      </c>
      <c r="L410">
        <v>145.64179999999999</v>
      </c>
      <c r="M410">
        <v>5</v>
      </c>
    </row>
    <row r="411" spans="1:13" x14ac:dyDescent="0.35">
      <c r="A411" t="s">
        <v>17</v>
      </c>
      <c r="B411">
        <v>410</v>
      </c>
      <c r="C411" t="s">
        <v>413</v>
      </c>
      <c r="D411" t="s">
        <v>41</v>
      </c>
      <c r="E411">
        <v>2018</v>
      </c>
      <c r="F411" t="s">
        <v>44</v>
      </c>
      <c r="G411" t="s">
        <v>21</v>
      </c>
      <c r="H411" t="s">
        <v>15</v>
      </c>
      <c r="I411" t="s">
        <v>45</v>
      </c>
      <c r="J411">
        <v>1.9412192000000002E-2</v>
      </c>
      <c r="L411">
        <v>166.54740000000001</v>
      </c>
      <c r="M411">
        <v>5</v>
      </c>
    </row>
    <row r="412" spans="1:13" x14ac:dyDescent="0.35">
      <c r="A412" t="s">
        <v>17</v>
      </c>
      <c r="B412">
        <v>411</v>
      </c>
      <c r="C412" t="s">
        <v>414</v>
      </c>
      <c r="D412" t="s">
        <v>63</v>
      </c>
      <c r="E412">
        <v>2018</v>
      </c>
      <c r="F412" t="s">
        <v>44</v>
      </c>
      <c r="G412" t="s">
        <v>21</v>
      </c>
      <c r="H412" t="s">
        <v>15</v>
      </c>
      <c r="I412" t="s">
        <v>45</v>
      </c>
      <c r="J412">
        <v>0.117607719</v>
      </c>
      <c r="L412">
        <v>55.258800000000001</v>
      </c>
      <c r="M412">
        <v>5</v>
      </c>
    </row>
    <row r="413" spans="1:13" x14ac:dyDescent="0.35">
      <c r="A413" t="s">
        <v>17</v>
      </c>
      <c r="B413">
        <v>412</v>
      </c>
      <c r="C413" t="s">
        <v>415</v>
      </c>
      <c r="D413" t="s">
        <v>47</v>
      </c>
      <c r="E413">
        <v>2018</v>
      </c>
      <c r="F413" t="s">
        <v>44</v>
      </c>
      <c r="G413" t="s">
        <v>21</v>
      </c>
      <c r="H413" t="s">
        <v>15</v>
      </c>
      <c r="I413" t="s">
        <v>45</v>
      </c>
      <c r="J413">
        <v>0.14057197099999999</v>
      </c>
      <c r="L413">
        <v>154.7998</v>
      </c>
      <c r="M413">
        <v>5</v>
      </c>
    </row>
    <row r="414" spans="1:13" x14ac:dyDescent="0.35">
      <c r="A414" t="s">
        <v>17</v>
      </c>
      <c r="B414">
        <v>413</v>
      </c>
      <c r="C414" t="s">
        <v>416</v>
      </c>
      <c r="D414" t="s">
        <v>47</v>
      </c>
      <c r="E414">
        <v>2018</v>
      </c>
      <c r="F414" t="s">
        <v>44</v>
      </c>
      <c r="G414" t="s">
        <v>21</v>
      </c>
      <c r="H414" t="s">
        <v>15</v>
      </c>
      <c r="I414" t="s">
        <v>45</v>
      </c>
      <c r="J414">
        <v>9.9478450999999996E-2</v>
      </c>
      <c r="L414">
        <v>194.4452</v>
      </c>
      <c r="M414">
        <v>5</v>
      </c>
    </row>
    <row r="415" spans="1:13" x14ac:dyDescent="0.35">
      <c r="A415" t="s">
        <v>17</v>
      </c>
      <c r="B415">
        <v>414</v>
      </c>
      <c r="C415" t="s">
        <v>417</v>
      </c>
      <c r="D415" t="s">
        <v>47</v>
      </c>
      <c r="E415">
        <v>2018</v>
      </c>
      <c r="F415" t="s">
        <v>44</v>
      </c>
      <c r="G415" t="s">
        <v>21</v>
      </c>
      <c r="H415" t="s">
        <v>15</v>
      </c>
      <c r="I415" t="s">
        <v>45</v>
      </c>
      <c r="J415">
        <v>3.3725743000000002E-2</v>
      </c>
      <c r="L415">
        <v>211.6902</v>
      </c>
      <c r="M415">
        <v>5</v>
      </c>
    </row>
    <row r="416" spans="1:13" x14ac:dyDescent="0.35">
      <c r="A416" t="s">
        <v>17</v>
      </c>
      <c r="B416">
        <v>415</v>
      </c>
      <c r="C416" t="s">
        <v>355</v>
      </c>
      <c r="D416" t="s">
        <v>32</v>
      </c>
      <c r="E416">
        <v>2018</v>
      </c>
      <c r="F416" t="s">
        <v>44</v>
      </c>
      <c r="G416" t="s">
        <v>21</v>
      </c>
      <c r="H416" t="s">
        <v>15</v>
      </c>
      <c r="I416" t="s">
        <v>45</v>
      </c>
      <c r="J416">
        <v>5.3113721000000003E-2</v>
      </c>
      <c r="L416">
        <v>44.377000000000002</v>
      </c>
      <c r="M416">
        <v>5</v>
      </c>
    </row>
    <row r="417" spans="1:13" x14ac:dyDescent="0.35">
      <c r="A417" t="s">
        <v>10</v>
      </c>
      <c r="B417">
        <v>416</v>
      </c>
      <c r="C417" t="s">
        <v>418</v>
      </c>
      <c r="D417" t="s">
        <v>94</v>
      </c>
      <c r="E417">
        <v>2018</v>
      </c>
      <c r="F417" t="s">
        <v>44</v>
      </c>
      <c r="G417" t="s">
        <v>21</v>
      </c>
      <c r="H417" t="s">
        <v>15</v>
      </c>
      <c r="I417" t="s">
        <v>45</v>
      </c>
      <c r="J417">
        <v>0</v>
      </c>
      <c r="L417">
        <v>165.58680000000001</v>
      </c>
      <c r="M417">
        <v>5</v>
      </c>
    </row>
    <row r="418" spans="1:13" x14ac:dyDescent="0.35">
      <c r="A418" t="s">
        <v>10</v>
      </c>
      <c r="B418">
        <v>417</v>
      </c>
      <c r="C418" t="s">
        <v>419</v>
      </c>
      <c r="D418" t="s">
        <v>94</v>
      </c>
      <c r="E418">
        <v>2018</v>
      </c>
      <c r="F418" t="s">
        <v>44</v>
      </c>
      <c r="G418" t="s">
        <v>21</v>
      </c>
      <c r="H418" t="s">
        <v>15</v>
      </c>
      <c r="I418" t="s">
        <v>45</v>
      </c>
      <c r="J418">
        <v>6.2954719999999999E-3</v>
      </c>
      <c r="L418">
        <v>122.4098</v>
      </c>
      <c r="M418">
        <v>5</v>
      </c>
    </row>
    <row r="419" spans="1:13" x14ac:dyDescent="0.35">
      <c r="A419" t="s">
        <v>10</v>
      </c>
      <c r="B419">
        <v>418</v>
      </c>
      <c r="C419" t="s">
        <v>420</v>
      </c>
      <c r="D419" t="s">
        <v>94</v>
      </c>
      <c r="E419">
        <v>2018</v>
      </c>
      <c r="F419" t="s">
        <v>44</v>
      </c>
      <c r="G419" t="s">
        <v>21</v>
      </c>
      <c r="H419" t="s">
        <v>15</v>
      </c>
      <c r="I419" t="s">
        <v>45</v>
      </c>
      <c r="J419">
        <v>0.13948429200000001</v>
      </c>
      <c r="L419">
        <v>94.311999999999998</v>
      </c>
      <c r="M419">
        <v>5</v>
      </c>
    </row>
    <row r="420" spans="1:13" x14ac:dyDescent="0.35">
      <c r="A420" t="s">
        <v>10</v>
      </c>
      <c r="B420">
        <v>419</v>
      </c>
      <c r="C420" t="s">
        <v>421</v>
      </c>
      <c r="D420" t="s">
        <v>73</v>
      </c>
      <c r="E420">
        <v>2018</v>
      </c>
      <c r="F420" t="s">
        <v>44</v>
      </c>
      <c r="G420" t="s">
        <v>21</v>
      </c>
      <c r="H420" t="s">
        <v>15</v>
      </c>
      <c r="I420" t="s">
        <v>45</v>
      </c>
      <c r="J420">
        <v>0.15607236099999999</v>
      </c>
      <c r="L420">
        <v>169.34739999999999</v>
      </c>
      <c r="M420">
        <v>5</v>
      </c>
    </row>
    <row r="421" spans="1:13" x14ac:dyDescent="0.35">
      <c r="A421" t="s">
        <v>10</v>
      </c>
      <c r="B421">
        <v>420</v>
      </c>
      <c r="C421" t="s">
        <v>422</v>
      </c>
      <c r="D421" t="s">
        <v>28</v>
      </c>
      <c r="E421">
        <v>2018</v>
      </c>
      <c r="F421" t="s">
        <v>44</v>
      </c>
      <c r="G421" t="s">
        <v>21</v>
      </c>
      <c r="H421" t="s">
        <v>15</v>
      </c>
      <c r="I421" t="s">
        <v>45</v>
      </c>
      <c r="J421">
        <v>0.102226474</v>
      </c>
      <c r="L421">
        <v>91.311999999999998</v>
      </c>
      <c r="M421">
        <v>5</v>
      </c>
    </row>
    <row r="422" spans="1:13" x14ac:dyDescent="0.35">
      <c r="A422" t="s">
        <v>10</v>
      </c>
      <c r="B422">
        <v>421</v>
      </c>
      <c r="C422" t="s">
        <v>395</v>
      </c>
      <c r="D422" t="s">
        <v>28</v>
      </c>
      <c r="E422">
        <v>2018</v>
      </c>
      <c r="F422" t="s">
        <v>44</v>
      </c>
      <c r="G422" t="s">
        <v>21</v>
      </c>
      <c r="H422" t="s">
        <v>15</v>
      </c>
      <c r="I422" t="s">
        <v>45</v>
      </c>
      <c r="J422">
        <v>0.16065368199999999</v>
      </c>
      <c r="L422">
        <v>185.22659999999999</v>
      </c>
      <c r="M422">
        <v>5</v>
      </c>
    </row>
    <row r="423" spans="1:13" x14ac:dyDescent="0.35">
      <c r="A423" t="s">
        <v>10</v>
      </c>
      <c r="B423">
        <v>422</v>
      </c>
      <c r="C423" t="s">
        <v>423</v>
      </c>
      <c r="D423" t="s">
        <v>66</v>
      </c>
      <c r="E423">
        <v>2018</v>
      </c>
      <c r="F423" t="s">
        <v>44</v>
      </c>
      <c r="G423" t="s">
        <v>21</v>
      </c>
      <c r="H423" t="s">
        <v>15</v>
      </c>
      <c r="I423" t="s">
        <v>45</v>
      </c>
      <c r="J423">
        <v>3.7962695999999997E-2</v>
      </c>
      <c r="L423">
        <v>97.572599999999994</v>
      </c>
      <c r="M423">
        <v>5</v>
      </c>
    </row>
    <row r="424" spans="1:13" x14ac:dyDescent="0.35">
      <c r="A424" t="s">
        <v>10</v>
      </c>
      <c r="B424">
        <v>423</v>
      </c>
      <c r="C424" t="s">
        <v>424</v>
      </c>
      <c r="D424" t="s">
        <v>24</v>
      </c>
      <c r="E424">
        <v>2018</v>
      </c>
      <c r="F424" t="s">
        <v>44</v>
      </c>
      <c r="G424" t="s">
        <v>21</v>
      </c>
      <c r="H424" t="s">
        <v>15</v>
      </c>
      <c r="I424" t="s">
        <v>45</v>
      </c>
      <c r="J424">
        <v>9.0473389000000001E-2</v>
      </c>
      <c r="L424">
        <v>229.79839999999999</v>
      </c>
      <c r="M424">
        <v>5</v>
      </c>
    </row>
    <row r="425" spans="1:13" x14ac:dyDescent="0.35">
      <c r="A425" t="s">
        <v>10</v>
      </c>
      <c r="B425">
        <v>424</v>
      </c>
      <c r="C425" t="s">
        <v>425</v>
      </c>
      <c r="D425" t="s">
        <v>12</v>
      </c>
      <c r="E425">
        <v>2018</v>
      </c>
      <c r="F425" t="s">
        <v>44</v>
      </c>
      <c r="G425" t="s">
        <v>21</v>
      </c>
      <c r="H425" t="s">
        <v>15</v>
      </c>
      <c r="I425" t="s">
        <v>45</v>
      </c>
      <c r="J425">
        <v>0.14433849300000001</v>
      </c>
      <c r="L425">
        <v>172.108</v>
      </c>
      <c r="M425">
        <v>5</v>
      </c>
    </row>
    <row r="426" spans="1:13" x14ac:dyDescent="0.35">
      <c r="A426" t="s">
        <v>10</v>
      </c>
      <c r="B426">
        <v>425</v>
      </c>
      <c r="C426" t="s">
        <v>426</v>
      </c>
      <c r="D426" t="s">
        <v>12</v>
      </c>
      <c r="E426">
        <v>2018</v>
      </c>
      <c r="F426" t="s">
        <v>44</v>
      </c>
      <c r="G426" t="s">
        <v>21</v>
      </c>
      <c r="H426" t="s">
        <v>15</v>
      </c>
      <c r="I426" t="s">
        <v>45</v>
      </c>
      <c r="J426">
        <v>3.8313980999999997E-2</v>
      </c>
      <c r="L426">
        <v>109.95699999999999</v>
      </c>
      <c r="M426">
        <v>5</v>
      </c>
    </row>
    <row r="427" spans="1:13" x14ac:dyDescent="0.35">
      <c r="A427" t="s">
        <v>10</v>
      </c>
      <c r="B427">
        <v>426</v>
      </c>
      <c r="C427" t="s">
        <v>427</v>
      </c>
      <c r="D427" t="s">
        <v>53</v>
      </c>
      <c r="E427">
        <v>2018</v>
      </c>
      <c r="F427" t="s">
        <v>44</v>
      </c>
      <c r="G427" t="s">
        <v>21</v>
      </c>
      <c r="H427" t="s">
        <v>15</v>
      </c>
      <c r="I427" t="s">
        <v>45</v>
      </c>
      <c r="J427">
        <v>0.17262968300000001</v>
      </c>
      <c r="L427">
        <v>148.4708</v>
      </c>
      <c r="M427">
        <v>5</v>
      </c>
    </row>
    <row r="428" spans="1:13" x14ac:dyDescent="0.35">
      <c r="A428" t="s">
        <v>10</v>
      </c>
      <c r="B428">
        <v>427</v>
      </c>
      <c r="C428" t="s">
        <v>260</v>
      </c>
      <c r="D428" t="s">
        <v>47</v>
      </c>
      <c r="E428">
        <v>2018</v>
      </c>
      <c r="F428" t="s">
        <v>44</v>
      </c>
      <c r="G428" t="s">
        <v>21</v>
      </c>
      <c r="H428" t="s">
        <v>15</v>
      </c>
      <c r="I428" t="s">
        <v>45</v>
      </c>
      <c r="J428">
        <v>1.0928678000000001E-2</v>
      </c>
      <c r="L428">
        <v>167.08420000000001</v>
      </c>
      <c r="M428">
        <v>5</v>
      </c>
    </row>
    <row r="429" spans="1:13" x14ac:dyDescent="0.3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v>442</v>
      </c>
      <c r="C443" t="s">
        <v>437</v>
      </c>
      <c r="D443" t="s">
        <v>19</v>
      </c>
      <c r="E443">
        <v>2018</v>
      </c>
      <c r="F443" t="s">
        <v>44</v>
      </c>
      <c r="G443" t="s">
        <v>21</v>
      </c>
      <c r="H443" t="s">
        <v>15</v>
      </c>
      <c r="I443" t="s">
        <v>45</v>
      </c>
      <c r="J443">
        <v>0</v>
      </c>
      <c r="L443">
        <v>175.40280000000001</v>
      </c>
      <c r="M443">
        <v>4.9000000000000004</v>
      </c>
    </row>
    <row r="444" spans="1:13" x14ac:dyDescent="0.35">
      <c r="A444" t="s">
        <v>10</v>
      </c>
      <c r="B444">
        <v>443</v>
      </c>
      <c r="C444" t="s">
        <v>438</v>
      </c>
      <c r="D444" t="s">
        <v>47</v>
      </c>
      <c r="E444">
        <v>2012</v>
      </c>
      <c r="F444" t="s">
        <v>13</v>
      </c>
      <c r="G444" t="s">
        <v>14</v>
      </c>
      <c r="H444" t="s">
        <v>15</v>
      </c>
      <c r="I444" t="s">
        <v>16</v>
      </c>
      <c r="J444">
        <v>0.115857223</v>
      </c>
      <c r="K444">
        <v>8.31</v>
      </c>
      <c r="L444">
        <v>179.1028</v>
      </c>
      <c r="M444">
        <v>4.8</v>
      </c>
    </row>
    <row r="445" spans="1:13" x14ac:dyDescent="0.3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v>450</v>
      </c>
      <c r="C451" t="s">
        <v>444</v>
      </c>
      <c r="D451" t="s">
        <v>94</v>
      </c>
      <c r="E451">
        <v>2018</v>
      </c>
      <c r="F451" t="s">
        <v>44</v>
      </c>
      <c r="G451" t="s">
        <v>21</v>
      </c>
      <c r="H451" t="s">
        <v>15</v>
      </c>
      <c r="I451" t="s">
        <v>45</v>
      </c>
      <c r="J451">
        <v>2.1170542000000001E-2</v>
      </c>
      <c r="L451">
        <v>117.61239999999999</v>
      </c>
      <c r="M451">
        <v>4.8</v>
      </c>
    </row>
    <row r="452" spans="1:13" x14ac:dyDescent="0.35">
      <c r="A452" t="s">
        <v>17</v>
      </c>
      <c r="B452">
        <v>451</v>
      </c>
      <c r="C452" t="s">
        <v>445</v>
      </c>
      <c r="D452" t="s">
        <v>12</v>
      </c>
      <c r="E452">
        <v>2012</v>
      </c>
      <c r="F452" t="s">
        <v>13</v>
      </c>
      <c r="G452" t="s">
        <v>14</v>
      </c>
      <c r="H452" t="s">
        <v>15</v>
      </c>
      <c r="I452" t="s">
        <v>16</v>
      </c>
      <c r="J452">
        <v>0</v>
      </c>
      <c r="K452">
        <v>11.5</v>
      </c>
      <c r="L452">
        <v>128.46520000000001</v>
      </c>
      <c r="M452">
        <v>4.8</v>
      </c>
    </row>
    <row r="453" spans="1:13" x14ac:dyDescent="0.3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v>458</v>
      </c>
      <c r="C459" t="s">
        <v>451</v>
      </c>
      <c r="D459" t="s">
        <v>24</v>
      </c>
      <c r="E459">
        <v>2018</v>
      </c>
      <c r="F459" t="s">
        <v>137</v>
      </c>
      <c r="G459" t="s">
        <v>14</v>
      </c>
      <c r="H459" t="s">
        <v>26</v>
      </c>
      <c r="I459" t="s">
        <v>39</v>
      </c>
      <c r="J459">
        <v>0.14359158599999999</v>
      </c>
      <c r="L459">
        <v>213.55340000000001</v>
      </c>
      <c r="M459">
        <v>4.8</v>
      </c>
    </row>
    <row r="460" spans="1:13" x14ac:dyDescent="0.35">
      <c r="A460" t="s">
        <v>17</v>
      </c>
      <c r="B460">
        <v>459</v>
      </c>
      <c r="C460" t="s">
        <v>452</v>
      </c>
      <c r="D460" t="s">
        <v>94</v>
      </c>
      <c r="E460">
        <v>2018</v>
      </c>
      <c r="F460" t="s">
        <v>137</v>
      </c>
      <c r="G460" t="s">
        <v>14</v>
      </c>
      <c r="H460" t="s">
        <v>26</v>
      </c>
      <c r="I460" t="s">
        <v>39</v>
      </c>
      <c r="J460">
        <v>6.1999647999999997E-2</v>
      </c>
      <c r="L460">
        <v>230.001</v>
      </c>
      <c r="M460">
        <v>4.8</v>
      </c>
    </row>
    <row r="461" spans="1:13" x14ac:dyDescent="0.35">
      <c r="A461" t="s">
        <v>17</v>
      </c>
      <c r="B461">
        <v>460</v>
      </c>
      <c r="C461" t="s">
        <v>453</v>
      </c>
      <c r="D461" t="s">
        <v>66</v>
      </c>
      <c r="E461">
        <v>2018</v>
      </c>
      <c r="F461" t="s">
        <v>137</v>
      </c>
      <c r="G461" t="s">
        <v>14</v>
      </c>
      <c r="H461" t="s">
        <v>26</v>
      </c>
      <c r="I461" t="s">
        <v>39</v>
      </c>
      <c r="J461">
        <v>0</v>
      </c>
      <c r="L461">
        <v>51.234999999999999</v>
      </c>
      <c r="M461">
        <v>4.8</v>
      </c>
    </row>
    <row r="462" spans="1:13" x14ac:dyDescent="0.35">
      <c r="A462" t="s">
        <v>17</v>
      </c>
      <c r="B462">
        <v>461</v>
      </c>
      <c r="C462" t="s">
        <v>454</v>
      </c>
      <c r="D462" t="s">
        <v>47</v>
      </c>
      <c r="E462">
        <v>2018</v>
      </c>
      <c r="F462" t="s">
        <v>137</v>
      </c>
      <c r="G462" t="s">
        <v>14</v>
      </c>
      <c r="H462" t="s">
        <v>26</v>
      </c>
      <c r="I462" t="s">
        <v>39</v>
      </c>
      <c r="J462">
        <v>0.16845554900000001</v>
      </c>
      <c r="L462">
        <v>211.06120000000001</v>
      </c>
      <c r="M462">
        <v>4.8</v>
      </c>
    </row>
    <row r="463" spans="1:13" x14ac:dyDescent="0.35">
      <c r="A463" t="s">
        <v>10</v>
      </c>
      <c r="B463">
        <v>462</v>
      </c>
      <c r="C463" t="s">
        <v>455</v>
      </c>
      <c r="D463" t="s">
        <v>66</v>
      </c>
      <c r="E463">
        <v>2018</v>
      </c>
      <c r="F463" t="s">
        <v>137</v>
      </c>
      <c r="G463" t="s">
        <v>14</v>
      </c>
      <c r="H463" t="s">
        <v>26</v>
      </c>
      <c r="I463" t="s">
        <v>39</v>
      </c>
      <c r="J463">
        <v>6.6006824000000006E-2</v>
      </c>
      <c r="L463">
        <v>126.2704</v>
      </c>
      <c r="M463">
        <v>4.8</v>
      </c>
    </row>
    <row r="464" spans="1:13" x14ac:dyDescent="0.35">
      <c r="A464" t="s">
        <v>10</v>
      </c>
      <c r="B464">
        <v>463</v>
      </c>
      <c r="C464" t="s">
        <v>456</v>
      </c>
      <c r="D464" t="s">
        <v>53</v>
      </c>
      <c r="E464">
        <v>2018</v>
      </c>
      <c r="F464" t="s">
        <v>137</v>
      </c>
      <c r="G464" t="s">
        <v>14</v>
      </c>
      <c r="H464" t="s">
        <v>26</v>
      </c>
      <c r="I464" t="s">
        <v>39</v>
      </c>
      <c r="J464">
        <v>5.8545606E-2</v>
      </c>
      <c r="L464">
        <v>155.8314</v>
      </c>
      <c r="M464">
        <v>4.8</v>
      </c>
    </row>
    <row r="465" spans="1:13" x14ac:dyDescent="0.35">
      <c r="A465" t="s">
        <v>10</v>
      </c>
      <c r="B465">
        <v>464</v>
      </c>
      <c r="C465" t="s">
        <v>457</v>
      </c>
      <c r="D465" t="s">
        <v>47</v>
      </c>
      <c r="E465">
        <v>2018</v>
      </c>
      <c r="F465" t="s">
        <v>137</v>
      </c>
      <c r="G465" t="s">
        <v>14</v>
      </c>
      <c r="H465" t="s">
        <v>26</v>
      </c>
      <c r="I465" t="s">
        <v>39</v>
      </c>
      <c r="J465">
        <v>8.0127282999999994E-2</v>
      </c>
      <c r="L465">
        <v>168.7132</v>
      </c>
      <c r="M465">
        <v>4.8</v>
      </c>
    </row>
    <row r="466" spans="1:13" x14ac:dyDescent="0.3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v>471</v>
      </c>
      <c r="C472" t="s">
        <v>290</v>
      </c>
      <c r="D472" t="s">
        <v>28</v>
      </c>
      <c r="E472">
        <v>2015</v>
      </c>
      <c r="F472" t="s">
        <v>33</v>
      </c>
      <c r="G472" t="s">
        <v>34</v>
      </c>
      <c r="H472" t="s">
        <v>15</v>
      </c>
      <c r="I472" t="s">
        <v>16</v>
      </c>
      <c r="J472">
        <v>0.170152831</v>
      </c>
      <c r="K472">
        <v>20.7</v>
      </c>
      <c r="L472">
        <v>182.6266</v>
      </c>
      <c r="M472">
        <v>4.8</v>
      </c>
    </row>
    <row r="473" spans="1:13" x14ac:dyDescent="0.3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486</v>
      </c>
      <c r="D502" t="s">
        <v>47</v>
      </c>
      <c r="E502">
        <v>2022</v>
      </c>
      <c r="F502" t="s">
        <v>20</v>
      </c>
      <c r="G502" t="s">
        <v>21</v>
      </c>
      <c r="H502" t="s">
        <v>15</v>
      </c>
      <c r="I502" t="s">
        <v>22</v>
      </c>
      <c r="J502">
        <v>0</v>
      </c>
      <c r="K502">
        <v>6.67</v>
      </c>
      <c r="L502">
        <v>90.551400000000001</v>
      </c>
      <c r="M502">
        <v>4.8</v>
      </c>
    </row>
    <row r="503" spans="1:13" x14ac:dyDescent="0.35">
      <c r="A503" t="s">
        <v>10</v>
      </c>
      <c r="B503">
        <v>502</v>
      </c>
      <c r="C503" t="s">
        <v>487</v>
      </c>
      <c r="D503" t="s">
        <v>12</v>
      </c>
      <c r="E503">
        <v>2018</v>
      </c>
      <c r="F503" t="s">
        <v>44</v>
      </c>
      <c r="G503" t="s">
        <v>21</v>
      </c>
      <c r="H503" t="s">
        <v>15</v>
      </c>
      <c r="I503" t="s">
        <v>45</v>
      </c>
      <c r="J503">
        <v>4.8738406999999997E-2</v>
      </c>
      <c r="L503">
        <v>152.8682</v>
      </c>
      <c r="M503">
        <v>4.8</v>
      </c>
    </row>
    <row r="504" spans="1:13" x14ac:dyDescent="0.35">
      <c r="A504" t="s">
        <v>10</v>
      </c>
      <c r="B504">
        <v>503</v>
      </c>
      <c r="C504" t="s">
        <v>488</v>
      </c>
      <c r="D504" t="s">
        <v>53</v>
      </c>
      <c r="E504">
        <v>2018</v>
      </c>
      <c r="F504" t="s">
        <v>44</v>
      </c>
      <c r="G504" t="s">
        <v>21</v>
      </c>
      <c r="H504" t="s">
        <v>15</v>
      </c>
      <c r="I504" t="s">
        <v>45</v>
      </c>
      <c r="J504">
        <v>3.670437E-2</v>
      </c>
      <c r="L504">
        <v>228.1352</v>
      </c>
      <c r="M504">
        <v>4.8</v>
      </c>
    </row>
    <row r="505" spans="1:13" x14ac:dyDescent="0.35">
      <c r="A505" t="s">
        <v>10</v>
      </c>
      <c r="B505">
        <v>504</v>
      </c>
      <c r="C505" t="s">
        <v>489</v>
      </c>
      <c r="D505" t="s">
        <v>158</v>
      </c>
      <c r="E505">
        <v>2018</v>
      </c>
      <c r="F505" t="s">
        <v>44</v>
      </c>
      <c r="G505" t="s">
        <v>21</v>
      </c>
      <c r="H505" t="s">
        <v>15</v>
      </c>
      <c r="I505" t="s">
        <v>45</v>
      </c>
      <c r="J505">
        <v>5.436436E-2</v>
      </c>
      <c r="L505">
        <v>63.816800000000001</v>
      </c>
      <c r="M505">
        <v>4.8</v>
      </c>
    </row>
    <row r="506" spans="1:13" x14ac:dyDescent="0.3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120</v>
      </c>
      <c r="D509" t="s">
        <v>94</v>
      </c>
      <c r="E509">
        <v>2018</v>
      </c>
      <c r="F509" t="s">
        <v>44</v>
      </c>
      <c r="G509" t="s">
        <v>21</v>
      </c>
      <c r="H509" t="s">
        <v>15</v>
      </c>
      <c r="I509" t="s">
        <v>45</v>
      </c>
      <c r="J509">
        <v>7.8912472999999997E-2</v>
      </c>
      <c r="L509">
        <v>99.904200000000003</v>
      </c>
      <c r="M509">
        <v>4.7</v>
      </c>
    </row>
    <row r="510" spans="1:13" x14ac:dyDescent="0.3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494</v>
      </c>
      <c r="D513" t="s">
        <v>66</v>
      </c>
      <c r="E513">
        <v>2012</v>
      </c>
      <c r="F513" t="s">
        <v>13</v>
      </c>
      <c r="G513" t="s">
        <v>14</v>
      </c>
      <c r="H513" t="s">
        <v>15</v>
      </c>
      <c r="I513" t="s">
        <v>16</v>
      </c>
      <c r="J513">
        <v>0</v>
      </c>
      <c r="K513">
        <v>6.03</v>
      </c>
      <c r="L513">
        <v>175.1028</v>
      </c>
      <c r="M513">
        <v>4.7</v>
      </c>
    </row>
    <row r="514" spans="1:13" x14ac:dyDescent="0.3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496</v>
      </c>
      <c r="D515" t="s">
        <v>19</v>
      </c>
      <c r="E515">
        <v>2012</v>
      </c>
      <c r="F515" t="s">
        <v>13</v>
      </c>
      <c r="G515" t="s">
        <v>14</v>
      </c>
      <c r="H515" t="s">
        <v>15</v>
      </c>
      <c r="I515" t="s">
        <v>16</v>
      </c>
      <c r="J515">
        <v>1.2657494E-2</v>
      </c>
      <c r="K515">
        <v>16.5</v>
      </c>
      <c r="L515">
        <v>36.3506</v>
      </c>
      <c r="M515">
        <v>4.7</v>
      </c>
    </row>
    <row r="516" spans="1:13" x14ac:dyDescent="0.3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499</v>
      </c>
      <c r="D520" t="s">
        <v>24</v>
      </c>
      <c r="E520">
        <v>2012</v>
      </c>
      <c r="F520" t="s">
        <v>13</v>
      </c>
      <c r="G520" t="s">
        <v>14</v>
      </c>
      <c r="H520" t="s">
        <v>15</v>
      </c>
      <c r="I520" t="s">
        <v>16</v>
      </c>
      <c r="J520">
        <v>0</v>
      </c>
      <c r="K520">
        <v>9.5</v>
      </c>
      <c r="L520">
        <v>228.46680000000001</v>
      </c>
      <c r="M520">
        <v>4.7</v>
      </c>
    </row>
    <row r="521" spans="1:13" x14ac:dyDescent="0.3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v>522</v>
      </c>
      <c r="C523" t="s">
        <v>501</v>
      </c>
      <c r="D523" t="s">
        <v>66</v>
      </c>
      <c r="E523">
        <v>2018</v>
      </c>
      <c r="F523" t="s">
        <v>137</v>
      </c>
      <c r="G523" t="s">
        <v>14</v>
      </c>
      <c r="H523" t="s">
        <v>26</v>
      </c>
      <c r="I523" t="s">
        <v>39</v>
      </c>
      <c r="J523">
        <v>0.17021367600000001</v>
      </c>
      <c r="L523">
        <v>89.585599999999999</v>
      </c>
      <c r="M523">
        <v>4.7</v>
      </c>
    </row>
    <row r="524" spans="1:13" x14ac:dyDescent="0.35">
      <c r="A524" t="s">
        <v>17</v>
      </c>
      <c r="B524">
        <v>523</v>
      </c>
      <c r="C524" t="s">
        <v>218</v>
      </c>
      <c r="D524" t="s">
        <v>47</v>
      </c>
      <c r="E524">
        <v>2018</v>
      </c>
      <c r="F524" t="s">
        <v>137</v>
      </c>
      <c r="G524" t="s">
        <v>14</v>
      </c>
      <c r="H524" t="s">
        <v>26</v>
      </c>
      <c r="I524" t="s">
        <v>39</v>
      </c>
      <c r="J524">
        <v>5.8092550999999999E-2</v>
      </c>
      <c r="L524">
        <v>172.04220000000001</v>
      </c>
      <c r="M524">
        <v>4.7</v>
      </c>
    </row>
    <row r="525" spans="1:13" x14ac:dyDescent="0.35">
      <c r="A525" t="s">
        <v>10</v>
      </c>
      <c r="B525">
        <v>524</v>
      </c>
      <c r="C525" t="s">
        <v>502</v>
      </c>
      <c r="D525" t="s">
        <v>24</v>
      </c>
      <c r="E525">
        <v>2018</v>
      </c>
      <c r="F525" t="s">
        <v>137</v>
      </c>
      <c r="G525" t="s">
        <v>14</v>
      </c>
      <c r="H525" t="s">
        <v>26</v>
      </c>
      <c r="I525" t="s">
        <v>39</v>
      </c>
      <c r="J525">
        <v>7.6868664000000003E-2</v>
      </c>
      <c r="L525">
        <v>62.119399999999999</v>
      </c>
      <c r="M525">
        <v>4.7</v>
      </c>
    </row>
    <row r="526" spans="1:13" x14ac:dyDescent="0.35">
      <c r="A526" t="s">
        <v>10</v>
      </c>
      <c r="B526">
        <v>525</v>
      </c>
      <c r="C526" t="s">
        <v>503</v>
      </c>
      <c r="D526" t="s">
        <v>47</v>
      </c>
      <c r="E526">
        <v>2018</v>
      </c>
      <c r="F526" t="s">
        <v>137</v>
      </c>
      <c r="G526" t="s">
        <v>14</v>
      </c>
      <c r="H526" t="s">
        <v>26</v>
      </c>
      <c r="I526" t="s">
        <v>39</v>
      </c>
      <c r="J526">
        <v>0.127599399</v>
      </c>
      <c r="L526">
        <v>118.9098</v>
      </c>
      <c r="M526">
        <v>4.7</v>
      </c>
    </row>
    <row r="527" spans="1:13" x14ac:dyDescent="0.3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511</v>
      </c>
      <c r="D535" t="s">
        <v>66</v>
      </c>
      <c r="E535">
        <v>2016</v>
      </c>
      <c r="F535" t="s">
        <v>25</v>
      </c>
      <c r="G535" t="s">
        <v>14</v>
      </c>
      <c r="H535" t="s">
        <v>26</v>
      </c>
      <c r="I535" t="s">
        <v>16</v>
      </c>
      <c r="J535">
        <v>0</v>
      </c>
      <c r="K535">
        <v>11.5</v>
      </c>
      <c r="L535">
        <v>88.254000000000005</v>
      </c>
      <c r="M535">
        <v>4.7</v>
      </c>
    </row>
    <row r="536" spans="1:13" x14ac:dyDescent="0.35">
      <c r="A536" t="s">
        <v>10</v>
      </c>
      <c r="B536">
        <v>535</v>
      </c>
      <c r="C536" t="s">
        <v>512</v>
      </c>
      <c r="D536" t="s">
        <v>24</v>
      </c>
      <c r="E536">
        <v>2016</v>
      </c>
      <c r="F536" t="s">
        <v>25</v>
      </c>
      <c r="G536" t="s">
        <v>14</v>
      </c>
      <c r="H536" t="s">
        <v>26</v>
      </c>
      <c r="I536" t="s">
        <v>16</v>
      </c>
      <c r="J536">
        <v>3.0247903E-2</v>
      </c>
      <c r="K536">
        <v>5.88</v>
      </c>
      <c r="L536">
        <v>101.399</v>
      </c>
      <c r="M536">
        <v>4.7</v>
      </c>
    </row>
    <row r="537" spans="1:13" x14ac:dyDescent="0.35">
      <c r="A537" t="s">
        <v>10</v>
      </c>
      <c r="B537">
        <v>536</v>
      </c>
      <c r="C537" t="s">
        <v>315</v>
      </c>
      <c r="D537" t="s">
        <v>53</v>
      </c>
      <c r="E537">
        <v>2016</v>
      </c>
      <c r="F537" t="s">
        <v>25</v>
      </c>
      <c r="G537" t="s">
        <v>14</v>
      </c>
      <c r="H537" t="s">
        <v>26</v>
      </c>
      <c r="I537" t="s">
        <v>16</v>
      </c>
      <c r="J537">
        <v>2.4541277E-2</v>
      </c>
      <c r="K537">
        <v>5.63</v>
      </c>
      <c r="L537">
        <v>105.1306</v>
      </c>
      <c r="M537">
        <v>4.7</v>
      </c>
    </row>
    <row r="538" spans="1:13" x14ac:dyDescent="0.3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v>547</v>
      </c>
      <c r="C548" t="s">
        <v>519</v>
      </c>
      <c r="D548" t="s">
        <v>32</v>
      </c>
      <c r="E548">
        <v>2020</v>
      </c>
      <c r="F548" t="s">
        <v>36</v>
      </c>
      <c r="G548" t="s">
        <v>34</v>
      </c>
      <c r="H548" t="s">
        <v>15</v>
      </c>
      <c r="I548" t="s">
        <v>16</v>
      </c>
      <c r="J548">
        <v>0</v>
      </c>
      <c r="K548">
        <v>8.27</v>
      </c>
      <c r="L548">
        <v>183.29239999999999</v>
      </c>
      <c r="M548">
        <v>4.7</v>
      </c>
    </row>
    <row r="549" spans="1:13" x14ac:dyDescent="0.3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v>570</v>
      </c>
      <c r="C571" t="s">
        <v>533</v>
      </c>
      <c r="D571" t="s">
        <v>47</v>
      </c>
      <c r="E571">
        <v>2014</v>
      </c>
      <c r="F571" t="s">
        <v>29</v>
      </c>
      <c r="G571" t="s">
        <v>21</v>
      </c>
      <c r="H571" t="s">
        <v>30</v>
      </c>
      <c r="I571" t="s">
        <v>16</v>
      </c>
      <c r="J571">
        <v>0.103726639</v>
      </c>
      <c r="K571">
        <v>7.51</v>
      </c>
      <c r="L571">
        <v>110.6544</v>
      </c>
      <c r="M571">
        <v>4.7</v>
      </c>
    </row>
    <row r="572" spans="1:13" x14ac:dyDescent="0.3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258</v>
      </c>
      <c r="D577" t="s">
        <v>47</v>
      </c>
      <c r="E577">
        <v>2022</v>
      </c>
      <c r="F577" t="s">
        <v>20</v>
      </c>
      <c r="G577" t="s">
        <v>21</v>
      </c>
      <c r="H577" t="s">
        <v>15</v>
      </c>
      <c r="I577" t="s">
        <v>22</v>
      </c>
      <c r="J577">
        <v>2.9129907E-2</v>
      </c>
      <c r="K577">
        <v>6.61</v>
      </c>
      <c r="L577">
        <v>188.4898</v>
      </c>
      <c r="M577">
        <v>4.7</v>
      </c>
    </row>
    <row r="578" spans="1:13" x14ac:dyDescent="0.3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v>578</v>
      </c>
      <c r="C579" t="s">
        <v>471</v>
      </c>
      <c r="D579" t="s">
        <v>94</v>
      </c>
      <c r="E579">
        <v>2018</v>
      </c>
      <c r="F579" t="s">
        <v>44</v>
      </c>
      <c r="G579" t="s">
        <v>21</v>
      </c>
      <c r="H579" t="s">
        <v>15</v>
      </c>
      <c r="I579" t="s">
        <v>45</v>
      </c>
      <c r="J579">
        <v>0.10080442000000001</v>
      </c>
      <c r="L579">
        <v>45.474400000000003</v>
      </c>
      <c r="M579">
        <v>4.7</v>
      </c>
    </row>
    <row r="580" spans="1:13" x14ac:dyDescent="0.35">
      <c r="A580" t="s">
        <v>17</v>
      </c>
      <c r="B580">
        <v>579</v>
      </c>
      <c r="C580" t="s">
        <v>536</v>
      </c>
      <c r="D580" t="s">
        <v>28</v>
      </c>
      <c r="E580">
        <v>2018</v>
      </c>
      <c r="F580" t="s">
        <v>44</v>
      </c>
      <c r="G580" t="s">
        <v>21</v>
      </c>
      <c r="H580" t="s">
        <v>15</v>
      </c>
      <c r="I580" t="s">
        <v>45</v>
      </c>
      <c r="J580">
        <v>8.2152451000000001E-2</v>
      </c>
      <c r="L580">
        <v>179.90020000000001</v>
      </c>
      <c r="M580">
        <v>4.7</v>
      </c>
    </row>
    <row r="581" spans="1:13" x14ac:dyDescent="0.35">
      <c r="A581" t="s">
        <v>17</v>
      </c>
      <c r="B581">
        <v>580</v>
      </c>
      <c r="C581" t="s">
        <v>537</v>
      </c>
      <c r="D581" t="s">
        <v>19</v>
      </c>
      <c r="E581">
        <v>2018</v>
      </c>
      <c r="F581" t="s">
        <v>44</v>
      </c>
      <c r="G581" t="s">
        <v>21</v>
      </c>
      <c r="H581" t="s">
        <v>15</v>
      </c>
      <c r="I581" t="s">
        <v>45</v>
      </c>
      <c r="J581">
        <v>3.0347404000000001E-2</v>
      </c>
      <c r="L581">
        <v>192.5162</v>
      </c>
      <c r="M581">
        <v>4.7</v>
      </c>
    </row>
    <row r="582" spans="1:13" x14ac:dyDescent="0.35">
      <c r="A582" t="s">
        <v>17</v>
      </c>
      <c r="B582">
        <v>581</v>
      </c>
      <c r="C582" t="s">
        <v>538</v>
      </c>
      <c r="D582" t="s">
        <v>41</v>
      </c>
      <c r="E582">
        <v>2018</v>
      </c>
      <c r="F582" t="s">
        <v>44</v>
      </c>
      <c r="G582" t="s">
        <v>21</v>
      </c>
      <c r="H582" t="s">
        <v>15</v>
      </c>
      <c r="I582" t="s">
        <v>45</v>
      </c>
      <c r="J582">
        <v>4.1091215E-2</v>
      </c>
      <c r="L582">
        <v>89.551400000000001</v>
      </c>
      <c r="M582">
        <v>4.7</v>
      </c>
    </row>
    <row r="583" spans="1:13" x14ac:dyDescent="0.35">
      <c r="A583" t="s">
        <v>17</v>
      </c>
      <c r="B583">
        <v>582</v>
      </c>
      <c r="C583" t="s">
        <v>539</v>
      </c>
      <c r="D583" t="s">
        <v>32</v>
      </c>
      <c r="E583">
        <v>2018</v>
      </c>
      <c r="F583" t="s">
        <v>44</v>
      </c>
      <c r="G583" t="s">
        <v>21</v>
      </c>
      <c r="H583" t="s">
        <v>15</v>
      </c>
      <c r="I583" t="s">
        <v>45</v>
      </c>
      <c r="J583">
        <v>4.8841794000000001E-2</v>
      </c>
      <c r="L583">
        <v>64.716800000000006</v>
      </c>
      <c r="M583">
        <v>4.7</v>
      </c>
    </row>
    <row r="584" spans="1:13" x14ac:dyDescent="0.35">
      <c r="A584" t="s">
        <v>17</v>
      </c>
      <c r="B584">
        <v>583</v>
      </c>
      <c r="C584" t="s">
        <v>540</v>
      </c>
      <c r="D584" t="s">
        <v>32</v>
      </c>
      <c r="E584">
        <v>2018</v>
      </c>
      <c r="F584" t="s">
        <v>44</v>
      </c>
      <c r="G584" t="s">
        <v>21</v>
      </c>
      <c r="H584" t="s">
        <v>15</v>
      </c>
      <c r="I584" t="s">
        <v>45</v>
      </c>
      <c r="J584">
        <v>0.17423237699999999</v>
      </c>
      <c r="L584">
        <v>146.61019999999999</v>
      </c>
      <c r="M584">
        <v>4.7</v>
      </c>
    </row>
    <row r="585" spans="1:13" x14ac:dyDescent="0.3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v>677</v>
      </c>
      <c r="C678" t="s">
        <v>382</v>
      </c>
      <c r="D678" t="s">
        <v>53</v>
      </c>
      <c r="E678">
        <v>2018</v>
      </c>
      <c r="F678" t="s">
        <v>44</v>
      </c>
      <c r="G678" t="s">
        <v>21</v>
      </c>
      <c r="H678" t="s">
        <v>15</v>
      </c>
      <c r="I678" t="s">
        <v>45</v>
      </c>
      <c r="J678">
        <v>0</v>
      </c>
      <c r="L678">
        <v>109.1938</v>
      </c>
      <c r="M678">
        <v>4.5999999999999996</v>
      </c>
    </row>
    <row r="679" spans="1:13" x14ac:dyDescent="0.35">
      <c r="A679" t="s">
        <v>17</v>
      </c>
      <c r="B679">
        <v>678</v>
      </c>
      <c r="C679" t="s">
        <v>576</v>
      </c>
      <c r="D679" t="s">
        <v>53</v>
      </c>
      <c r="E679">
        <v>2018</v>
      </c>
      <c r="F679" t="s">
        <v>44</v>
      </c>
      <c r="G679" t="s">
        <v>21</v>
      </c>
      <c r="H679" t="s">
        <v>15</v>
      </c>
      <c r="I679" t="s">
        <v>45</v>
      </c>
      <c r="J679">
        <v>0.155541973</v>
      </c>
      <c r="L679">
        <v>159.7578</v>
      </c>
      <c r="M679">
        <v>4.5999999999999996</v>
      </c>
    </row>
    <row r="680" spans="1:13" x14ac:dyDescent="0.3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v>683</v>
      </c>
      <c r="C684" t="s">
        <v>607</v>
      </c>
      <c r="D684" t="s">
        <v>53</v>
      </c>
      <c r="E684">
        <v>2018</v>
      </c>
      <c r="F684" t="s">
        <v>44</v>
      </c>
      <c r="G684" t="s">
        <v>21</v>
      </c>
      <c r="H684" t="s">
        <v>15</v>
      </c>
      <c r="I684" t="s">
        <v>45</v>
      </c>
      <c r="J684">
        <v>0</v>
      </c>
      <c r="L684">
        <v>182.0608</v>
      </c>
      <c r="M684">
        <v>4.5999999999999996</v>
      </c>
    </row>
    <row r="685" spans="1:13" x14ac:dyDescent="0.3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v>697</v>
      </c>
      <c r="C698" t="s">
        <v>251</v>
      </c>
      <c r="D698" t="s">
        <v>28</v>
      </c>
      <c r="E698">
        <v>2018</v>
      </c>
      <c r="F698" t="s">
        <v>44</v>
      </c>
      <c r="G698" t="s">
        <v>21</v>
      </c>
      <c r="H698" t="s">
        <v>15</v>
      </c>
      <c r="I698" t="s">
        <v>45</v>
      </c>
      <c r="J698">
        <v>1.1953902000000001E-2</v>
      </c>
      <c r="L698">
        <v>164.51840000000001</v>
      </c>
      <c r="M698">
        <v>4.5</v>
      </c>
    </row>
    <row r="699" spans="1:13" x14ac:dyDescent="0.3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v>699</v>
      </c>
      <c r="C700" t="s">
        <v>618</v>
      </c>
      <c r="D700" t="s">
        <v>41</v>
      </c>
      <c r="E700">
        <v>2018</v>
      </c>
      <c r="F700" t="s">
        <v>44</v>
      </c>
      <c r="G700" t="s">
        <v>21</v>
      </c>
      <c r="H700" t="s">
        <v>15</v>
      </c>
      <c r="I700" t="s">
        <v>45</v>
      </c>
      <c r="J700">
        <v>5.9776237000000003E-2</v>
      </c>
      <c r="L700">
        <v>231.76419999999999</v>
      </c>
      <c r="M700">
        <v>4.5</v>
      </c>
    </row>
    <row r="701" spans="1:13" x14ac:dyDescent="0.3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v>701</v>
      </c>
      <c r="C702" t="s">
        <v>619</v>
      </c>
      <c r="D702" t="s">
        <v>12</v>
      </c>
      <c r="E702">
        <v>2012</v>
      </c>
      <c r="F702" t="s">
        <v>13</v>
      </c>
      <c r="G702" t="s">
        <v>14</v>
      </c>
      <c r="H702" t="s">
        <v>15</v>
      </c>
      <c r="I702" t="s">
        <v>16</v>
      </c>
      <c r="J702">
        <v>0.100330684</v>
      </c>
      <c r="K702">
        <v>20.7</v>
      </c>
      <c r="L702">
        <v>123.4388</v>
      </c>
      <c r="M702">
        <v>4.5</v>
      </c>
    </row>
    <row r="703" spans="1:13" x14ac:dyDescent="0.3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622</v>
      </c>
      <c r="D705" t="s">
        <v>47</v>
      </c>
      <c r="E705">
        <v>2017</v>
      </c>
      <c r="F705" t="s">
        <v>49</v>
      </c>
      <c r="G705" t="s">
        <v>34</v>
      </c>
      <c r="H705" t="s">
        <v>26</v>
      </c>
      <c r="I705" t="s">
        <v>16</v>
      </c>
      <c r="J705">
        <v>0.128065918</v>
      </c>
      <c r="K705">
        <v>19</v>
      </c>
      <c r="L705">
        <v>104.3622</v>
      </c>
      <c r="M705">
        <v>4.5</v>
      </c>
    </row>
    <row r="706" spans="1:13" x14ac:dyDescent="0.3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v>720</v>
      </c>
      <c r="C721" t="s">
        <v>634</v>
      </c>
      <c r="D721" t="s">
        <v>24</v>
      </c>
      <c r="E721">
        <v>2012</v>
      </c>
      <c r="F721" t="s">
        <v>13</v>
      </c>
      <c r="G721" t="s">
        <v>14</v>
      </c>
      <c r="H721" t="s">
        <v>15</v>
      </c>
      <c r="I721" t="s">
        <v>16</v>
      </c>
      <c r="J721">
        <v>4.2687151E-2</v>
      </c>
      <c r="K721">
        <v>5.19</v>
      </c>
      <c r="L721">
        <v>195.911</v>
      </c>
      <c r="M721">
        <v>4.5</v>
      </c>
    </row>
    <row r="722" spans="1:13" x14ac:dyDescent="0.3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553</v>
      </c>
      <c r="D740" t="s">
        <v>66</v>
      </c>
      <c r="E740">
        <v>2012</v>
      </c>
      <c r="F740" t="s">
        <v>13</v>
      </c>
      <c r="G740" t="s">
        <v>14</v>
      </c>
      <c r="H740" t="s">
        <v>15</v>
      </c>
      <c r="I740" t="s">
        <v>16</v>
      </c>
      <c r="J740">
        <v>0.107223632</v>
      </c>
      <c r="K740">
        <v>11.8</v>
      </c>
      <c r="L740">
        <v>223.5772</v>
      </c>
      <c r="M740">
        <v>4.5</v>
      </c>
    </row>
    <row r="741" spans="1:13" x14ac:dyDescent="0.3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v>745</v>
      </c>
      <c r="C746" t="s">
        <v>515</v>
      </c>
      <c r="D746" t="s">
        <v>66</v>
      </c>
      <c r="E746">
        <v>2018</v>
      </c>
      <c r="F746" t="s">
        <v>137</v>
      </c>
      <c r="G746" t="s">
        <v>14</v>
      </c>
      <c r="H746" t="s">
        <v>26</v>
      </c>
      <c r="I746" t="s">
        <v>39</v>
      </c>
      <c r="J746">
        <v>9.9442328999999996E-2</v>
      </c>
      <c r="L746">
        <v>233.16419999999999</v>
      </c>
      <c r="M746">
        <v>4.5</v>
      </c>
    </row>
    <row r="747" spans="1:13" x14ac:dyDescent="0.35">
      <c r="A747" t="s">
        <v>17</v>
      </c>
      <c r="B747">
        <v>746</v>
      </c>
      <c r="C747" t="s">
        <v>649</v>
      </c>
      <c r="D747" t="s">
        <v>12</v>
      </c>
      <c r="E747">
        <v>2018</v>
      </c>
      <c r="F747" t="s">
        <v>137</v>
      </c>
      <c r="G747" t="s">
        <v>14</v>
      </c>
      <c r="H747" t="s">
        <v>26</v>
      </c>
      <c r="I747" t="s">
        <v>39</v>
      </c>
      <c r="J747">
        <v>0.22628438100000001</v>
      </c>
      <c r="L747">
        <v>163.221</v>
      </c>
      <c r="M747">
        <v>4.5</v>
      </c>
    </row>
    <row r="748" spans="1:13" x14ac:dyDescent="0.35">
      <c r="A748" t="s">
        <v>17</v>
      </c>
      <c r="B748">
        <v>747</v>
      </c>
      <c r="C748" t="s">
        <v>412</v>
      </c>
      <c r="D748" t="s">
        <v>41</v>
      </c>
      <c r="E748">
        <v>2018</v>
      </c>
      <c r="F748" t="s">
        <v>137</v>
      </c>
      <c r="G748" t="s">
        <v>14</v>
      </c>
      <c r="H748" t="s">
        <v>26</v>
      </c>
      <c r="I748" t="s">
        <v>39</v>
      </c>
      <c r="J748">
        <v>0.12998368799999999</v>
      </c>
      <c r="L748">
        <v>93.046199999999999</v>
      </c>
      <c r="M748">
        <v>4.5</v>
      </c>
    </row>
    <row r="749" spans="1:13" x14ac:dyDescent="0.35">
      <c r="A749" t="s">
        <v>17</v>
      </c>
      <c r="B749">
        <v>748</v>
      </c>
      <c r="C749" t="s">
        <v>650</v>
      </c>
      <c r="D749" t="s">
        <v>41</v>
      </c>
      <c r="E749">
        <v>2018</v>
      </c>
      <c r="F749" t="s">
        <v>137</v>
      </c>
      <c r="G749" t="s">
        <v>14</v>
      </c>
      <c r="H749" t="s">
        <v>26</v>
      </c>
      <c r="I749" t="s">
        <v>39</v>
      </c>
      <c r="J749">
        <v>2.7532258E-2</v>
      </c>
      <c r="L749">
        <v>185.0608</v>
      </c>
      <c r="M749">
        <v>4.5</v>
      </c>
    </row>
    <row r="750" spans="1:13" x14ac:dyDescent="0.35">
      <c r="A750" t="s">
        <v>17</v>
      </c>
      <c r="B750">
        <v>749</v>
      </c>
      <c r="C750" t="s">
        <v>651</v>
      </c>
      <c r="D750" t="s">
        <v>41</v>
      </c>
      <c r="E750">
        <v>2018</v>
      </c>
      <c r="F750" t="s">
        <v>137</v>
      </c>
      <c r="G750" t="s">
        <v>14</v>
      </c>
      <c r="H750" t="s">
        <v>26</v>
      </c>
      <c r="I750" t="s">
        <v>39</v>
      </c>
      <c r="J750">
        <v>7.3229342000000003E-2</v>
      </c>
      <c r="L750">
        <v>254.10140000000001</v>
      </c>
      <c r="M750">
        <v>4.5</v>
      </c>
    </row>
    <row r="751" spans="1:13" x14ac:dyDescent="0.35">
      <c r="A751" t="s">
        <v>17</v>
      </c>
      <c r="B751">
        <v>750</v>
      </c>
      <c r="C751" t="s">
        <v>652</v>
      </c>
      <c r="D751" t="s">
        <v>41</v>
      </c>
      <c r="E751">
        <v>2018</v>
      </c>
      <c r="F751" t="s">
        <v>137</v>
      </c>
      <c r="G751" t="s">
        <v>14</v>
      </c>
      <c r="H751" t="s">
        <v>26</v>
      </c>
      <c r="I751" t="s">
        <v>39</v>
      </c>
      <c r="J751">
        <v>0.116750407</v>
      </c>
      <c r="L751">
        <v>195.24780000000001</v>
      </c>
      <c r="M751">
        <v>4.5</v>
      </c>
    </row>
    <row r="752" spans="1:13" x14ac:dyDescent="0.35">
      <c r="A752" t="s">
        <v>17</v>
      </c>
      <c r="B752">
        <v>751</v>
      </c>
      <c r="C752" t="s">
        <v>653</v>
      </c>
      <c r="D752" t="s">
        <v>41</v>
      </c>
      <c r="E752">
        <v>2018</v>
      </c>
      <c r="F752" t="s">
        <v>137</v>
      </c>
      <c r="G752" t="s">
        <v>14</v>
      </c>
      <c r="H752" t="s">
        <v>26</v>
      </c>
      <c r="I752" t="s">
        <v>39</v>
      </c>
      <c r="J752">
        <v>0.14595153299999999</v>
      </c>
      <c r="L752">
        <v>160.95519999999999</v>
      </c>
      <c r="M752">
        <v>4.5</v>
      </c>
    </row>
    <row r="753" spans="1:13" x14ac:dyDescent="0.35">
      <c r="A753" t="s">
        <v>17</v>
      </c>
      <c r="B753">
        <v>752</v>
      </c>
      <c r="C753" t="s">
        <v>467</v>
      </c>
      <c r="D753" t="s">
        <v>63</v>
      </c>
      <c r="E753">
        <v>2018</v>
      </c>
      <c r="F753" t="s">
        <v>137</v>
      </c>
      <c r="G753" t="s">
        <v>14</v>
      </c>
      <c r="H753" t="s">
        <v>26</v>
      </c>
      <c r="I753" t="s">
        <v>39</v>
      </c>
      <c r="J753">
        <v>3.5997636E-2</v>
      </c>
      <c r="L753">
        <v>78.661799999999999</v>
      </c>
      <c r="M753">
        <v>4.5</v>
      </c>
    </row>
    <row r="754" spans="1:13" x14ac:dyDescent="0.35">
      <c r="A754" t="s">
        <v>17</v>
      </c>
      <c r="B754">
        <v>753</v>
      </c>
      <c r="C754" t="s">
        <v>468</v>
      </c>
      <c r="D754" t="s">
        <v>47</v>
      </c>
      <c r="E754">
        <v>2018</v>
      </c>
      <c r="F754" t="s">
        <v>137</v>
      </c>
      <c r="G754" t="s">
        <v>14</v>
      </c>
      <c r="H754" t="s">
        <v>26</v>
      </c>
      <c r="I754" t="s">
        <v>39</v>
      </c>
      <c r="J754">
        <v>0.164006137</v>
      </c>
      <c r="L754">
        <v>113.2834</v>
      </c>
      <c r="M754">
        <v>4.5</v>
      </c>
    </row>
    <row r="755" spans="1:13" x14ac:dyDescent="0.35">
      <c r="A755" t="s">
        <v>17</v>
      </c>
      <c r="B755">
        <v>754</v>
      </c>
      <c r="C755" t="s">
        <v>654</v>
      </c>
      <c r="D755" t="s">
        <v>47</v>
      </c>
      <c r="E755">
        <v>2018</v>
      </c>
      <c r="F755" t="s">
        <v>137</v>
      </c>
      <c r="G755" t="s">
        <v>14</v>
      </c>
      <c r="H755" t="s">
        <v>26</v>
      </c>
      <c r="I755" t="s">
        <v>39</v>
      </c>
      <c r="J755">
        <v>4.6903970000000003E-2</v>
      </c>
      <c r="L755">
        <v>110.657</v>
      </c>
      <c r="M755">
        <v>4.5</v>
      </c>
    </row>
    <row r="756" spans="1:13" x14ac:dyDescent="0.35">
      <c r="A756" t="s">
        <v>17</v>
      </c>
      <c r="B756">
        <v>755</v>
      </c>
      <c r="C756" t="s">
        <v>655</v>
      </c>
      <c r="D756" t="s">
        <v>47</v>
      </c>
      <c r="E756">
        <v>2018</v>
      </c>
      <c r="F756" t="s">
        <v>137</v>
      </c>
      <c r="G756" t="s">
        <v>14</v>
      </c>
      <c r="H756" t="s">
        <v>26</v>
      </c>
      <c r="I756" t="s">
        <v>39</v>
      </c>
      <c r="J756">
        <v>0.18111405899999999</v>
      </c>
      <c r="L756">
        <v>141.64699999999999</v>
      </c>
      <c r="M756">
        <v>4.5</v>
      </c>
    </row>
    <row r="757" spans="1:13" x14ac:dyDescent="0.35">
      <c r="A757" t="s">
        <v>17</v>
      </c>
      <c r="B757">
        <v>756</v>
      </c>
      <c r="C757" t="s">
        <v>656</v>
      </c>
      <c r="D757" t="s">
        <v>32</v>
      </c>
      <c r="E757">
        <v>2018</v>
      </c>
      <c r="F757" t="s">
        <v>137</v>
      </c>
      <c r="G757" t="s">
        <v>14</v>
      </c>
      <c r="H757" t="s">
        <v>26</v>
      </c>
      <c r="I757" t="s">
        <v>39</v>
      </c>
      <c r="J757">
        <v>0.17141731599999999</v>
      </c>
      <c r="L757">
        <v>173.07380000000001</v>
      </c>
      <c r="M757">
        <v>4.5</v>
      </c>
    </row>
    <row r="758" spans="1:13" x14ac:dyDescent="0.35">
      <c r="A758" t="s">
        <v>10</v>
      </c>
      <c r="B758">
        <v>757</v>
      </c>
      <c r="C758" t="s">
        <v>318</v>
      </c>
      <c r="D758" t="s">
        <v>47</v>
      </c>
      <c r="E758">
        <v>2018</v>
      </c>
      <c r="F758" t="s">
        <v>137</v>
      </c>
      <c r="G758" t="s">
        <v>14</v>
      </c>
      <c r="H758" t="s">
        <v>26</v>
      </c>
      <c r="I758" t="s">
        <v>39</v>
      </c>
      <c r="J758">
        <v>0.184359831</v>
      </c>
      <c r="L758">
        <v>172.6764</v>
      </c>
      <c r="M758">
        <v>4.5</v>
      </c>
    </row>
    <row r="759" spans="1:13" x14ac:dyDescent="0.35">
      <c r="A759" t="s">
        <v>10</v>
      </c>
      <c r="B759">
        <v>758</v>
      </c>
      <c r="C759" t="s">
        <v>657</v>
      </c>
      <c r="D759" t="s">
        <v>47</v>
      </c>
      <c r="E759">
        <v>2018</v>
      </c>
      <c r="F759" t="s">
        <v>137</v>
      </c>
      <c r="G759" t="s">
        <v>14</v>
      </c>
      <c r="H759" t="s">
        <v>26</v>
      </c>
      <c r="I759" t="s">
        <v>39</v>
      </c>
      <c r="J759">
        <v>0.11744283799999999</v>
      </c>
      <c r="L759">
        <v>257.73039999999997</v>
      </c>
      <c r="M759">
        <v>4.5</v>
      </c>
    </row>
    <row r="760" spans="1:13" x14ac:dyDescent="0.35">
      <c r="A760" t="s">
        <v>10</v>
      </c>
      <c r="B760">
        <v>759</v>
      </c>
      <c r="C760" t="s">
        <v>658</v>
      </c>
      <c r="D760" t="s">
        <v>47</v>
      </c>
      <c r="E760">
        <v>2018</v>
      </c>
      <c r="F760" t="s">
        <v>137</v>
      </c>
      <c r="G760" t="s">
        <v>14</v>
      </c>
      <c r="H760" t="s">
        <v>26</v>
      </c>
      <c r="I760" t="s">
        <v>39</v>
      </c>
      <c r="J760">
        <v>2.1471456E-2</v>
      </c>
      <c r="L760">
        <v>131.0284</v>
      </c>
      <c r="M760">
        <v>4.5</v>
      </c>
    </row>
    <row r="761" spans="1:13" x14ac:dyDescent="0.35">
      <c r="A761" t="s">
        <v>10</v>
      </c>
      <c r="B761">
        <v>760</v>
      </c>
      <c r="C761" t="s">
        <v>659</v>
      </c>
      <c r="D761" t="s">
        <v>47</v>
      </c>
      <c r="E761">
        <v>2018</v>
      </c>
      <c r="F761" t="s">
        <v>137</v>
      </c>
      <c r="G761" t="s">
        <v>14</v>
      </c>
      <c r="H761" t="s">
        <v>26</v>
      </c>
      <c r="I761" t="s">
        <v>39</v>
      </c>
      <c r="J761">
        <v>0.17018662800000001</v>
      </c>
      <c r="L761">
        <v>159.02619999999999</v>
      </c>
      <c r="M761">
        <v>4.5</v>
      </c>
    </row>
    <row r="762" spans="1:13" x14ac:dyDescent="0.35">
      <c r="A762" t="s">
        <v>17</v>
      </c>
      <c r="B762">
        <v>761</v>
      </c>
      <c r="C762" t="s">
        <v>417</v>
      </c>
      <c r="D762" t="s">
        <v>47</v>
      </c>
      <c r="E762">
        <v>2018</v>
      </c>
      <c r="F762" t="s">
        <v>137</v>
      </c>
      <c r="G762" t="s">
        <v>14</v>
      </c>
      <c r="H762" t="s">
        <v>26</v>
      </c>
      <c r="I762" t="s">
        <v>39</v>
      </c>
      <c r="J762">
        <v>5.9336763000000001E-2</v>
      </c>
      <c r="L762">
        <v>212.1902</v>
      </c>
      <c r="M762">
        <v>4.5</v>
      </c>
    </row>
    <row r="763" spans="1:13" x14ac:dyDescent="0.3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667</v>
      </c>
      <c r="D773" t="s">
        <v>12</v>
      </c>
      <c r="E773">
        <v>2016</v>
      </c>
      <c r="F773" t="s">
        <v>25</v>
      </c>
      <c r="G773" t="s">
        <v>14</v>
      </c>
      <c r="H773" t="s">
        <v>26</v>
      </c>
      <c r="I773" t="s">
        <v>16</v>
      </c>
      <c r="J773">
        <v>0</v>
      </c>
      <c r="K773">
        <v>16.75</v>
      </c>
      <c r="L773">
        <v>255.39879999999999</v>
      </c>
      <c r="M773">
        <v>4.5</v>
      </c>
    </row>
    <row r="774" spans="1:13" x14ac:dyDescent="0.3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v>779</v>
      </c>
      <c r="C780" t="s">
        <v>672</v>
      </c>
      <c r="D780" t="s">
        <v>41</v>
      </c>
      <c r="E780">
        <v>2016</v>
      </c>
      <c r="F780" t="s">
        <v>25</v>
      </c>
      <c r="G780" t="s">
        <v>14</v>
      </c>
      <c r="H780" t="s">
        <v>26</v>
      </c>
      <c r="I780" t="s">
        <v>16</v>
      </c>
      <c r="J780">
        <v>2.4651269E-2</v>
      </c>
      <c r="K780">
        <v>13.15</v>
      </c>
      <c r="L780">
        <v>179.5686</v>
      </c>
      <c r="M780">
        <v>4.5</v>
      </c>
    </row>
    <row r="781" spans="1:13" x14ac:dyDescent="0.35">
      <c r="A781" t="s">
        <v>17</v>
      </c>
      <c r="B781">
        <v>780</v>
      </c>
      <c r="C781" t="s">
        <v>412</v>
      </c>
      <c r="D781" t="s">
        <v>41</v>
      </c>
      <c r="E781">
        <v>2016</v>
      </c>
      <c r="F781" t="s">
        <v>25</v>
      </c>
      <c r="G781" t="s">
        <v>14</v>
      </c>
      <c r="H781" t="s">
        <v>26</v>
      </c>
      <c r="I781" t="s">
        <v>16</v>
      </c>
      <c r="J781">
        <v>0</v>
      </c>
      <c r="K781">
        <v>20.2</v>
      </c>
      <c r="L781">
        <v>94.146199999999993</v>
      </c>
      <c r="M781">
        <v>4.5</v>
      </c>
    </row>
    <row r="782" spans="1:13" x14ac:dyDescent="0.3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669</v>
      </c>
      <c r="D801" t="s">
        <v>19</v>
      </c>
      <c r="E801">
        <v>2015</v>
      </c>
      <c r="F801" t="s">
        <v>33</v>
      </c>
      <c r="G801" t="s">
        <v>34</v>
      </c>
      <c r="H801" t="s">
        <v>26</v>
      </c>
      <c r="I801" t="s">
        <v>16</v>
      </c>
      <c r="J801">
        <v>0</v>
      </c>
      <c r="K801">
        <v>18.2</v>
      </c>
      <c r="L801">
        <v>44.108600000000003</v>
      </c>
      <c r="M801">
        <v>4.5</v>
      </c>
    </row>
    <row r="802" spans="1:13" x14ac:dyDescent="0.35">
      <c r="A802" t="s">
        <v>17</v>
      </c>
      <c r="B802">
        <v>801</v>
      </c>
      <c r="C802" t="s">
        <v>685</v>
      </c>
      <c r="D802" t="s">
        <v>19</v>
      </c>
      <c r="E802">
        <v>2015</v>
      </c>
      <c r="F802" t="s">
        <v>33</v>
      </c>
      <c r="G802" t="s">
        <v>34</v>
      </c>
      <c r="H802" t="s">
        <v>26</v>
      </c>
      <c r="I802" t="s">
        <v>16</v>
      </c>
      <c r="J802">
        <v>0.113833823</v>
      </c>
      <c r="K802">
        <v>21.25</v>
      </c>
      <c r="L802">
        <v>232.83</v>
      </c>
      <c r="M802">
        <v>4.5</v>
      </c>
    </row>
    <row r="803" spans="1:13" x14ac:dyDescent="0.3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448</v>
      </c>
      <c r="D807" t="s">
        <v>32</v>
      </c>
      <c r="E807">
        <v>2015</v>
      </c>
      <c r="F807" t="s">
        <v>33</v>
      </c>
      <c r="G807" t="s">
        <v>34</v>
      </c>
      <c r="H807" t="s">
        <v>26</v>
      </c>
      <c r="I807" t="s">
        <v>16</v>
      </c>
      <c r="J807">
        <v>0</v>
      </c>
      <c r="K807">
        <v>4.59</v>
      </c>
      <c r="L807">
        <v>111.18600000000001</v>
      </c>
      <c r="M807">
        <v>4.5</v>
      </c>
    </row>
    <row r="808" spans="1:13" x14ac:dyDescent="0.3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v>817</v>
      </c>
      <c r="C818" t="s">
        <v>692</v>
      </c>
      <c r="D818" t="s">
        <v>41</v>
      </c>
      <c r="E818">
        <v>2020</v>
      </c>
      <c r="F818" t="s">
        <v>36</v>
      </c>
      <c r="G818" t="s">
        <v>34</v>
      </c>
      <c r="H818" t="s">
        <v>30</v>
      </c>
      <c r="I818" t="s">
        <v>16</v>
      </c>
      <c r="J818">
        <v>0</v>
      </c>
      <c r="K818">
        <v>16.25</v>
      </c>
      <c r="L818">
        <v>115.2176</v>
      </c>
      <c r="M818">
        <v>4.5</v>
      </c>
    </row>
    <row r="819" spans="1:13" x14ac:dyDescent="0.3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v>829</v>
      </c>
      <c r="C830" t="s">
        <v>701</v>
      </c>
      <c r="D830" t="s">
        <v>66</v>
      </c>
      <c r="E830">
        <v>2020</v>
      </c>
      <c r="F830" t="s">
        <v>36</v>
      </c>
      <c r="G830" t="s">
        <v>34</v>
      </c>
      <c r="H830" t="s">
        <v>30</v>
      </c>
      <c r="I830" t="s">
        <v>16</v>
      </c>
      <c r="J830">
        <v>4.7857877E-2</v>
      </c>
      <c r="K830">
        <v>7.71</v>
      </c>
      <c r="L830">
        <v>119.7756</v>
      </c>
      <c r="M830">
        <v>4.5</v>
      </c>
    </row>
    <row r="831" spans="1:13" x14ac:dyDescent="0.3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v>831</v>
      </c>
      <c r="C832" t="s">
        <v>257</v>
      </c>
      <c r="D832" t="s">
        <v>53</v>
      </c>
      <c r="E832">
        <v>2020</v>
      </c>
      <c r="F832" t="s">
        <v>36</v>
      </c>
      <c r="G832" t="s">
        <v>34</v>
      </c>
      <c r="H832" t="s">
        <v>15</v>
      </c>
      <c r="I832" t="s">
        <v>16</v>
      </c>
      <c r="J832">
        <v>0</v>
      </c>
      <c r="K832">
        <v>5.15</v>
      </c>
      <c r="L832">
        <v>122.9388</v>
      </c>
      <c r="M832">
        <v>4.5</v>
      </c>
    </row>
    <row r="833" spans="1:13" x14ac:dyDescent="0.3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v>834</v>
      </c>
      <c r="C835" t="s">
        <v>364</v>
      </c>
      <c r="D835" t="s">
        <v>47</v>
      </c>
      <c r="E835">
        <v>2020</v>
      </c>
      <c r="F835" t="s">
        <v>36</v>
      </c>
      <c r="G835" t="s">
        <v>34</v>
      </c>
      <c r="H835" t="s">
        <v>15</v>
      </c>
      <c r="I835" t="s">
        <v>16</v>
      </c>
      <c r="J835">
        <v>0</v>
      </c>
      <c r="K835">
        <v>9.6</v>
      </c>
      <c r="L835">
        <v>191.0872</v>
      </c>
      <c r="M835">
        <v>4.5</v>
      </c>
    </row>
    <row r="836" spans="1:13" x14ac:dyDescent="0.3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v>836</v>
      </c>
      <c r="C837" t="s">
        <v>703</v>
      </c>
      <c r="D837" t="s">
        <v>56</v>
      </c>
      <c r="E837">
        <v>2015</v>
      </c>
      <c r="F837" t="s">
        <v>33</v>
      </c>
      <c r="G837" t="s">
        <v>34</v>
      </c>
      <c r="H837" t="s">
        <v>15</v>
      </c>
      <c r="I837" t="s">
        <v>16</v>
      </c>
      <c r="J837">
        <v>0</v>
      </c>
      <c r="K837">
        <v>6.44</v>
      </c>
      <c r="L837">
        <v>99.87</v>
      </c>
      <c r="M837">
        <v>4.5</v>
      </c>
    </row>
    <row r="838" spans="1:13" x14ac:dyDescent="0.3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v>847</v>
      </c>
      <c r="C848" t="s">
        <v>454</v>
      </c>
      <c r="D848" t="s">
        <v>47</v>
      </c>
      <c r="E848">
        <v>2017</v>
      </c>
      <c r="F848" t="s">
        <v>49</v>
      </c>
      <c r="G848" t="s">
        <v>34</v>
      </c>
      <c r="H848" t="s">
        <v>26</v>
      </c>
      <c r="I848" t="s">
        <v>16</v>
      </c>
      <c r="J848">
        <v>9.619424E-2</v>
      </c>
      <c r="K848">
        <v>12.6</v>
      </c>
      <c r="L848">
        <v>210.8612</v>
      </c>
      <c r="M848">
        <v>4.5</v>
      </c>
    </row>
    <row r="849" spans="1:13" x14ac:dyDescent="0.3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v>851</v>
      </c>
      <c r="C852" t="s">
        <v>709</v>
      </c>
      <c r="D852" t="s">
        <v>94</v>
      </c>
      <c r="E852">
        <v>2017</v>
      </c>
      <c r="F852" t="s">
        <v>49</v>
      </c>
      <c r="G852" t="s">
        <v>34</v>
      </c>
      <c r="H852" t="s">
        <v>26</v>
      </c>
      <c r="I852" t="s">
        <v>16</v>
      </c>
      <c r="J852">
        <v>0</v>
      </c>
      <c r="K852">
        <v>11.85</v>
      </c>
      <c r="L852">
        <v>51.266599999999997</v>
      </c>
      <c r="M852">
        <v>4.5</v>
      </c>
    </row>
    <row r="853" spans="1:13" x14ac:dyDescent="0.3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v>856</v>
      </c>
      <c r="C857" t="s">
        <v>258</v>
      </c>
      <c r="D857" t="s">
        <v>47</v>
      </c>
      <c r="E857">
        <v>2017</v>
      </c>
      <c r="F857" t="s">
        <v>49</v>
      </c>
      <c r="G857" t="s">
        <v>34</v>
      </c>
      <c r="H857" t="s">
        <v>26</v>
      </c>
      <c r="I857" t="s">
        <v>16</v>
      </c>
      <c r="J857">
        <v>2.9006239E-2</v>
      </c>
      <c r="K857">
        <v>6.61</v>
      </c>
      <c r="L857">
        <v>186.0898</v>
      </c>
      <c r="M857">
        <v>4.5</v>
      </c>
    </row>
    <row r="858" spans="1:13" x14ac:dyDescent="0.35">
      <c r="A858" t="s">
        <v>10</v>
      </c>
      <c r="B858">
        <v>857</v>
      </c>
      <c r="C858" t="s">
        <v>712</v>
      </c>
      <c r="D858" t="s">
        <v>47</v>
      </c>
      <c r="E858">
        <v>2017</v>
      </c>
      <c r="F858" t="s">
        <v>49</v>
      </c>
      <c r="G858" t="s">
        <v>34</v>
      </c>
      <c r="H858" t="s">
        <v>26</v>
      </c>
      <c r="I858" t="s">
        <v>16</v>
      </c>
      <c r="J858">
        <v>0.14460413</v>
      </c>
      <c r="K858">
        <v>7.21</v>
      </c>
      <c r="L858">
        <v>102.6332</v>
      </c>
      <c r="M858">
        <v>4.5</v>
      </c>
    </row>
    <row r="859" spans="1:13" x14ac:dyDescent="0.3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v>882</v>
      </c>
      <c r="C883" t="s">
        <v>477</v>
      </c>
      <c r="D883" t="s">
        <v>94</v>
      </c>
      <c r="E883">
        <v>2014</v>
      </c>
      <c r="F883" t="s">
        <v>29</v>
      </c>
      <c r="G883" t="s">
        <v>21</v>
      </c>
      <c r="H883" t="s">
        <v>30</v>
      </c>
      <c r="I883" t="s">
        <v>16</v>
      </c>
      <c r="J883">
        <v>0</v>
      </c>
      <c r="K883">
        <v>13.5</v>
      </c>
      <c r="L883">
        <v>88.054000000000002</v>
      </c>
      <c r="M883">
        <v>4.5</v>
      </c>
    </row>
    <row r="884" spans="1:13" x14ac:dyDescent="0.3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74</v>
      </c>
      <c r="D890" t="s">
        <v>41</v>
      </c>
      <c r="E890">
        <v>2014</v>
      </c>
      <c r="F890" t="s">
        <v>29</v>
      </c>
      <c r="G890" t="s">
        <v>21</v>
      </c>
      <c r="H890" t="s">
        <v>30</v>
      </c>
      <c r="I890" t="s">
        <v>16</v>
      </c>
      <c r="J890">
        <v>0</v>
      </c>
      <c r="K890">
        <v>5.82</v>
      </c>
      <c r="L890">
        <v>169.37899999999999</v>
      </c>
      <c r="M890">
        <v>4.5</v>
      </c>
    </row>
    <row r="891" spans="1:13" x14ac:dyDescent="0.3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730</v>
      </c>
      <c r="D895" t="s">
        <v>28</v>
      </c>
      <c r="E895">
        <v>2014</v>
      </c>
      <c r="F895" t="s">
        <v>29</v>
      </c>
      <c r="G895" t="s">
        <v>21</v>
      </c>
      <c r="H895" t="s">
        <v>30</v>
      </c>
      <c r="I895" t="s">
        <v>16</v>
      </c>
      <c r="J895">
        <v>2.076385E-2</v>
      </c>
      <c r="K895">
        <v>7.27</v>
      </c>
      <c r="L895">
        <v>89.0488</v>
      </c>
      <c r="M895">
        <v>4.5</v>
      </c>
    </row>
    <row r="896" spans="1:13" x14ac:dyDescent="0.3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733</v>
      </c>
      <c r="D898" t="s">
        <v>12</v>
      </c>
      <c r="E898">
        <v>2014</v>
      </c>
      <c r="F898" t="s">
        <v>29</v>
      </c>
      <c r="G898" t="s">
        <v>21</v>
      </c>
      <c r="H898" t="s">
        <v>30</v>
      </c>
      <c r="I898" t="s">
        <v>16</v>
      </c>
      <c r="J898">
        <v>0.106238768</v>
      </c>
      <c r="K898">
        <v>12.3</v>
      </c>
      <c r="L898">
        <v>176.1396</v>
      </c>
      <c r="M898">
        <v>4.5</v>
      </c>
    </row>
    <row r="899" spans="1:13" x14ac:dyDescent="0.3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735</v>
      </c>
      <c r="D902" t="s">
        <v>158</v>
      </c>
      <c r="E902">
        <v>2022</v>
      </c>
      <c r="F902" t="s">
        <v>20</v>
      </c>
      <c r="G902" t="s">
        <v>21</v>
      </c>
      <c r="H902" t="s">
        <v>15</v>
      </c>
      <c r="I902" t="s">
        <v>22</v>
      </c>
      <c r="J902">
        <v>0</v>
      </c>
      <c r="K902">
        <v>12.85</v>
      </c>
      <c r="L902">
        <v>253.00399999999999</v>
      </c>
      <c r="M902">
        <v>4.5</v>
      </c>
    </row>
    <row r="903" spans="1:13" x14ac:dyDescent="0.35">
      <c r="A903" t="s">
        <v>17</v>
      </c>
      <c r="B903">
        <v>902</v>
      </c>
      <c r="C903" t="s">
        <v>736</v>
      </c>
      <c r="D903" t="s">
        <v>94</v>
      </c>
      <c r="E903">
        <v>2022</v>
      </c>
      <c r="F903" t="s">
        <v>20</v>
      </c>
      <c r="G903" t="s">
        <v>21</v>
      </c>
      <c r="H903" t="s">
        <v>15</v>
      </c>
      <c r="I903" t="s">
        <v>22</v>
      </c>
      <c r="J903">
        <v>0</v>
      </c>
      <c r="K903">
        <v>15.6</v>
      </c>
      <c r="L903">
        <v>111.8544</v>
      </c>
      <c r="M903">
        <v>4.5</v>
      </c>
    </row>
    <row r="904" spans="1:13" x14ac:dyDescent="0.35">
      <c r="A904" t="s">
        <v>17</v>
      </c>
      <c r="B904">
        <v>903</v>
      </c>
      <c r="C904" t="s">
        <v>290</v>
      </c>
      <c r="D904" t="s">
        <v>28</v>
      </c>
      <c r="E904">
        <v>2022</v>
      </c>
      <c r="F904" t="s">
        <v>20</v>
      </c>
      <c r="G904" t="s">
        <v>21</v>
      </c>
      <c r="H904" t="s">
        <v>15</v>
      </c>
      <c r="I904" t="s">
        <v>22</v>
      </c>
      <c r="J904">
        <v>0.170500183</v>
      </c>
      <c r="K904">
        <v>20.7</v>
      </c>
      <c r="L904">
        <v>184.1266</v>
      </c>
      <c r="M904">
        <v>4.5</v>
      </c>
    </row>
    <row r="905" spans="1:13" x14ac:dyDescent="0.35">
      <c r="A905" t="s">
        <v>17</v>
      </c>
      <c r="B905">
        <v>904</v>
      </c>
      <c r="C905" t="s">
        <v>737</v>
      </c>
      <c r="D905" t="s">
        <v>24</v>
      </c>
      <c r="E905">
        <v>2022</v>
      </c>
      <c r="F905" t="s">
        <v>20</v>
      </c>
      <c r="G905" t="s">
        <v>21</v>
      </c>
      <c r="H905" t="s">
        <v>15</v>
      </c>
      <c r="I905" t="s">
        <v>22</v>
      </c>
      <c r="J905">
        <v>0.119871307</v>
      </c>
      <c r="K905">
        <v>17</v>
      </c>
      <c r="L905">
        <v>248.3434</v>
      </c>
      <c r="M905">
        <v>4.5</v>
      </c>
    </row>
    <row r="906" spans="1:13" x14ac:dyDescent="0.3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599</v>
      </c>
      <c r="D915" t="s">
        <v>47</v>
      </c>
      <c r="E915">
        <v>2022</v>
      </c>
      <c r="F915" t="s">
        <v>20</v>
      </c>
      <c r="G915" t="s">
        <v>21</v>
      </c>
      <c r="H915" t="s">
        <v>15</v>
      </c>
      <c r="I915" t="s">
        <v>22</v>
      </c>
      <c r="J915">
        <v>0</v>
      </c>
      <c r="K915">
        <v>15.25</v>
      </c>
      <c r="L915">
        <v>179.76599999999999</v>
      </c>
      <c r="M915">
        <v>4.5</v>
      </c>
    </row>
    <row r="916" spans="1:13" x14ac:dyDescent="0.35">
      <c r="A916" t="s">
        <v>17</v>
      </c>
      <c r="B916">
        <v>915</v>
      </c>
      <c r="C916" t="s">
        <v>744</v>
      </c>
      <c r="D916" t="s">
        <v>56</v>
      </c>
      <c r="E916">
        <v>2018</v>
      </c>
      <c r="F916" t="s">
        <v>44</v>
      </c>
      <c r="G916" t="s">
        <v>21</v>
      </c>
      <c r="H916" t="s">
        <v>15</v>
      </c>
      <c r="I916" t="s">
        <v>45</v>
      </c>
      <c r="J916">
        <v>6.8765925000000006E-2</v>
      </c>
      <c r="L916">
        <v>216.91659999999999</v>
      </c>
      <c r="M916">
        <v>4.5</v>
      </c>
    </row>
    <row r="917" spans="1:13" x14ac:dyDescent="0.35">
      <c r="A917" t="s">
        <v>17</v>
      </c>
      <c r="B917">
        <v>916</v>
      </c>
      <c r="C917" t="s">
        <v>745</v>
      </c>
      <c r="D917" t="s">
        <v>56</v>
      </c>
      <c r="E917">
        <v>2018</v>
      </c>
      <c r="F917" t="s">
        <v>44</v>
      </c>
      <c r="G917" t="s">
        <v>21</v>
      </c>
      <c r="H917" t="s">
        <v>15</v>
      </c>
      <c r="I917" t="s">
        <v>45</v>
      </c>
      <c r="J917">
        <v>8.1391459999999999E-2</v>
      </c>
      <c r="L917">
        <v>177.83699999999999</v>
      </c>
      <c r="M917">
        <v>4.5</v>
      </c>
    </row>
    <row r="918" spans="1:13" x14ac:dyDescent="0.35">
      <c r="A918" t="s">
        <v>17</v>
      </c>
      <c r="B918">
        <v>917</v>
      </c>
      <c r="C918" t="s">
        <v>746</v>
      </c>
      <c r="D918" t="s">
        <v>66</v>
      </c>
      <c r="E918">
        <v>2018</v>
      </c>
      <c r="F918" t="s">
        <v>44</v>
      </c>
      <c r="G918" t="s">
        <v>21</v>
      </c>
      <c r="H918" t="s">
        <v>15</v>
      </c>
      <c r="I918" t="s">
        <v>45</v>
      </c>
      <c r="J918">
        <v>5.5121891999999999E-2</v>
      </c>
      <c r="L918">
        <v>196.77680000000001</v>
      </c>
      <c r="M918">
        <v>4.5</v>
      </c>
    </row>
    <row r="919" spans="1:13" x14ac:dyDescent="0.35">
      <c r="A919" t="s">
        <v>17</v>
      </c>
      <c r="B919">
        <v>918</v>
      </c>
      <c r="C919" t="s">
        <v>226</v>
      </c>
      <c r="D919" t="s">
        <v>66</v>
      </c>
      <c r="E919">
        <v>2018</v>
      </c>
      <c r="F919" t="s">
        <v>44</v>
      </c>
      <c r="G919" t="s">
        <v>21</v>
      </c>
      <c r="H919" t="s">
        <v>15</v>
      </c>
      <c r="I919" t="s">
        <v>45</v>
      </c>
      <c r="J919">
        <v>5.2097910000000001E-3</v>
      </c>
      <c r="L919">
        <v>265.28840000000002</v>
      </c>
      <c r="M919">
        <v>4.5</v>
      </c>
    </row>
    <row r="920" spans="1:13" x14ac:dyDescent="0.35">
      <c r="A920" t="s">
        <v>17</v>
      </c>
      <c r="B920">
        <v>919</v>
      </c>
      <c r="C920" t="s">
        <v>747</v>
      </c>
      <c r="D920" t="s">
        <v>24</v>
      </c>
      <c r="E920">
        <v>2018</v>
      </c>
      <c r="F920" t="s">
        <v>44</v>
      </c>
      <c r="G920" t="s">
        <v>21</v>
      </c>
      <c r="H920" t="s">
        <v>15</v>
      </c>
      <c r="I920" t="s">
        <v>45</v>
      </c>
      <c r="J920">
        <v>6.5272284E-2</v>
      </c>
      <c r="L920">
        <v>256.16460000000001</v>
      </c>
      <c r="M920">
        <v>4.5</v>
      </c>
    </row>
    <row r="921" spans="1:13" x14ac:dyDescent="0.35">
      <c r="A921" t="s">
        <v>17</v>
      </c>
      <c r="B921">
        <v>920</v>
      </c>
      <c r="C921" t="s">
        <v>748</v>
      </c>
      <c r="D921" t="s">
        <v>24</v>
      </c>
      <c r="E921">
        <v>2018</v>
      </c>
      <c r="F921" t="s">
        <v>44</v>
      </c>
      <c r="G921" t="s">
        <v>21</v>
      </c>
      <c r="H921" t="s">
        <v>15</v>
      </c>
      <c r="I921" t="s">
        <v>45</v>
      </c>
      <c r="J921">
        <v>0</v>
      </c>
      <c r="L921">
        <v>225.30619999999999</v>
      </c>
      <c r="M921">
        <v>4.5</v>
      </c>
    </row>
    <row r="922" spans="1:13" x14ac:dyDescent="0.35">
      <c r="A922" t="s">
        <v>17</v>
      </c>
      <c r="B922">
        <v>921</v>
      </c>
      <c r="C922" t="s">
        <v>749</v>
      </c>
      <c r="D922" t="s">
        <v>24</v>
      </c>
      <c r="E922">
        <v>2018</v>
      </c>
      <c r="F922" t="s">
        <v>44</v>
      </c>
      <c r="G922" t="s">
        <v>21</v>
      </c>
      <c r="H922" t="s">
        <v>15</v>
      </c>
      <c r="I922" t="s">
        <v>45</v>
      </c>
      <c r="J922">
        <v>6.3462047999999993E-2</v>
      </c>
      <c r="L922">
        <v>157.56299999999999</v>
      </c>
      <c r="M922">
        <v>4.5</v>
      </c>
    </row>
    <row r="923" spans="1:13" x14ac:dyDescent="0.35">
      <c r="A923" t="s">
        <v>17</v>
      </c>
      <c r="B923">
        <v>922</v>
      </c>
      <c r="C923" t="s">
        <v>573</v>
      </c>
      <c r="D923" t="s">
        <v>19</v>
      </c>
      <c r="E923">
        <v>2018</v>
      </c>
      <c r="F923" t="s">
        <v>44</v>
      </c>
      <c r="G923" t="s">
        <v>21</v>
      </c>
      <c r="H923" t="s">
        <v>15</v>
      </c>
      <c r="I923" t="s">
        <v>45</v>
      </c>
      <c r="J923">
        <v>7.7079176999999999E-2</v>
      </c>
      <c r="L923">
        <v>61.553600000000003</v>
      </c>
      <c r="M923">
        <v>4.5</v>
      </c>
    </row>
    <row r="924" spans="1:13" x14ac:dyDescent="0.35">
      <c r="A924" t="s">
        <v>17</v>
      </c>
      <c r="B924">
        <v>923</v>
      </c>
      <c r="C924" t="s">
        <v>750</v>
      </c>
      <c r="D924" t="s">
        <v>41</v>
      </c>
      <c r="E924">
        <v>2018</v>
      </c>
      <c r="F924" t="s">
        <v>44</v>
      </c>
      <c r="G924" t="s">
        <v>21</v>
      </c>
      <c r="H924" t="s">
        <v>15</v>
      </c>
      <c r="I924" t="s">
        <v>45</v>
      </c>
      <c r="J924">
        <v>0.14258975099999999</v>
      </c>
      <c r="L924">
        <v>35.918999999999997</v>
      </c>
      <c r="M924">
        <v>4.5</v>
      </c>
    </row>
    <row r="925" spans="1:13" x14ac:dyDescent="0.35">
      <c r="A925" t="s">
        <v>17</v>
      </c>
      <c r="B925">
        <v>924</v>
      </c>
      <c r="C925" t="s">
        <v>377</v>
      </c>
      <c r="D925" t="s">
        <v>41</v>
      </c>
      <c r="E925">
        <v>2018</v>
      </c>
      <c r="F925" t="s">
        <v>44</v>
      </c>
      <c r="G925" t="s">
        <v>21</v>
      </c>
      <c r="H925" t="s">
        <v>15</v>
      </c>
      <c r="I925" t="s">
        <v>45</v>
      </c>
      <c r="J925">
        <v>9.1042210999999998E-2</v>
      </c>
      <c r="L925">
        <v>162.68940000000001</v>
      </c>
      <c r="M925">
        <v>4.5</v>
      </c>
    </row>
    <row r="926" spans="1:13" x14ac:dyDescent="0.35">
      <c r="A926" t="s">
        <v>17</v>
      </c>
      <c r="B926">
        <v>925</v>
      </c>
      <c r="C926" t="s">
        <v>147</v>
      </c>
      <c r="D926" t="s">
        <v>41</v>
      </c>
      <c r="E926">
        <v>2018</v>
      </c>
      <c r="F926" t="s">
        <v>44</v>
      </c>
      <c r="G926" t="s">
        <v>21</v>
      </c>
      <c r="H926" t="s">
        <v>15</v>
      </c>
      <c r="I926" t="s">
        <v>45</v>
      </c>
      <c r="J926">
        <v>5.2247806000000001E-2</v>
      </c>
      <c r="L926">
        <v>190.85300000000001</v>
      </c>
      <c r="M926">
        <v>4.5</v>
      </c>
    </row>
    <row r="927" spans="1:13" x14ac:dyDescent="0.35">
      <c r="A927" t="s">
        <v>17</v>
      </c>
      <c r="B927">
        <v>926</v>
      </c>
      <c r="C927" t="s">
        <v>751</v>
      </c>
      <c r="D927" t="s">
        <v>41</v>
      </c>
      <c r="E927">
        <v>2018</v>
      </c>
      <c r="F927" t="s">
        <v>44</v>
      </c>
      <c r="G927" t="s">
        <v>21</v>
      </c>
      <c r="H927" t="s">
        <v>15</v>
      </c>
      <c r="I927" t="s">
        <v>45</v>
      </c>
      <c r="J927">
        <v>7.2317217000000003E-2</v>
      </c>
      <c r="L927">
        <v>160.792</v>
      </c>
      <c r="M927">
        <v>4.5</v>
      </c>
    </row>
    <row r="928" spans="1:13" x14ac:dyDescent="0.35">
      <c r="A928" t="s">
        <v>17</v>
      </c>
      <c r="B928">
        <v>927</v>
      </c>
      <c r="C928" t="s">
        <v>240</v>
      </c>
      <c r="D928" t="s">
        <v>41</v>
      </c>
      <c r="E928">
        <v>2018</v>
      </c>
      <c r="F928" t="s">
        <v>44</v>
      </c>
      <c r="G928" t="s">
        <v>21</v>
      </c>
      <c r="H928" t="s">
        <v>15</v>
      </c>
      <c r="I928" t="s">
        <v>45</v>
      </c>
      <c r="J928">
        <v>5.911748E-2</v>
      </c>
      <c r="L928">
        <v>181.5976</v>
      </c>
      <c r="M928">
        <v>4.5</v>
      </c>
    </row>
    <row r="929" spans="1:13" x14ac:dyDescent="0.35">
      <c r="A929" t="s">
        <v>17</v>
      </c>
      <c r="B929">
        <v>928</v>
      </c>
      <c r="C929" t="s">
        <v>752</v>
      </c>
      <c r="D929" t="s">
        <v>41</v>
      </c>
      <c r="E929">
        <v>2018</v>
      </c>
      <c r="F929" t="s">
        <v>44</v>
      </c>
      <c r="G929" t="s">
        <v>21</v>
      </c>
      <c r="H929" t="s">
        <v>15</v>
      </c>
      <c r="I929" t="s">
        <v>45</v>
      </c>
      <c r="J929">
        <v>9.370568E-2</v>
      </c>
      <c r="L929">
        <v>253.8698</v>
      </c>
      <c r="M929">
        <v>4.5</v>
      </c>
    </row>
    <row r="930" spans="1:13" x14ac:dyDescent="0.35">
      <c r="A930" t="s">
        <v>17</v>
      </c>
      <c r="B930">
        <v>929</v>
      </c>
      <c r="C930" t="s">
        <v>753</v>
      </c>
      <c r="D930" t="s">
        <v>63</v>
      </c>
      <c r="E930">
        <v>2018</v>
      </c>
      <c r="F930" t="s">
        <v>44</v>
      </c>
      <c r="G930" t="s">
        <v>21</v>
      </c>
      <c r="H930" t="s">
        <v>15</v>
      </c>
      <c r="I930" t="s">
        <v>45</v>
      </c>
      <c r="J930">
        <v>3.1186800000000001E-2</v>
      </c>
      <c r="L930">
        <v>39.548000000000002</v>
      </c>
      <c r="M930">
        <v>4.5</v>
      </c>
    </row>
    <row r="931" spans="1:13" x14ac:dyDescent="0.35">
      <c r="A931" t="s">
        <v>10</v>
      </c>
      <c r="B931">
        <v>930</v>
      </c>
      <c r="C931" t="s">
        <v>754</v>
      </c>
      <c r="D931" t="s">
        <v>94</v>
      </c>
      <c r="E931">
        <v>2018</v>
      </c>
      <c r="F931" t="s">
        <v>44</v>
      </c>
      <c r="G931" t="s">
        <v>21</v>
      </c>
      <c r="H931" t="s">
        <v>15</v>
      </c>
      <c r="I931" t="s">
        <v>45</v>
      </c>
      <c r="J931">
        <v>2.524761E-2</v>
      </c>
      <c r="L931">
        <v>81.993399999999994</v>
      </c>
      <c r="M931">
        <v>4.5</v>
      </c>
    </row>
    <row r="932" spans="1:13" x14ac:dyDescent="0.35">
      <c r="A932" t="s">
        <v>10</v>
      </c>
      <c r="B932">
        <v>931</v>
      </c>
      <c r="C932" t="s">
        <v>724</v>
      </c>
      <c r="D932" t="s">
        <v>28</v>
      </c>
      <c r="E932">
        <v>2018</v>
      </c>
      <c r="F932" t="s">
        <v>44</v>
      </c>
      <c r="G932" t="s">
        <v>21</v>
      </c>
      <c r="H932" t="s">
        <v>15</v>
      </c>
      <c r="I932" t="s">
        <v>45</v>
      </c>
      <c r="J932">
        <v>4.6408928000000002E-2</v>
      </c>
      <c r="L932">
        <v>153.2998</v>
      </c>
      <c r="M932">
        <v>4.5</v>
      </c>
    </row>
    <row r="933" spans="1:13" x14ac:dyDescent="0.35">
      <c r="A933" t="s">
        <v>10</v>
      </c>
      <c r="B933">
        <v>932</v>
      </c>
      <c r="C933" t="s">
        <v>755</v>
      </c>
      <c r="D933" t="s">
        <v>24</v>
      </c>
      <c r="E933">
        <v>2018</v>
      </c>
      <c r="F933" t="s">
        <v>44</v>
      </c>
      <c r="G933" t="s">
        <v>21</v>
      </c>
      <c r="H933" t="s">
        <v>15</v>
      </c>
      <c r="I933" t="s">
        <v>45</v>
      </c>
      <c r="J933">
        <v>7.9954799999999993E-3</v>
      </c>
      <c r="L933">
        <v>78.561800000000005</v>
      </c>
      <c r="M933">
        <v>4.5</v>
      </c>
    </row>
    <row r="934" spans="1:13" x14ac:dyDescent="0.35">
      <c r="A934" t="s">
        <v>10</v>
      </c>
      <c r="B934">
        <v>933</v>
      </c>
      <c r="C934" t="s">
        <v>756</v>
      </c>
      <c r="D934" t="s">
        <v>24</v>
      </c>
      <c r="E934">
        <v>2018</v>
      </c>
      <c r="F934" t="s">
        <v>44</v>
      </c>
      <c r="G934" t="s">
        <v>21</v>
      </c>
      <c r="H934" t="s">
        <v>15</v>
      </c>
      <c r="I934" t="s">
        <v>45</v>
      </c>
      <c r="J934">
        <v>4.1273391E-2</v>
      </c>
      <c r="L934">
        <v>91.680400000000006</v>
      </c>
      <c r="M934">
        <v>4.5</v>
      </c>
    </row>
    <row r="935" spans="1:13" x14ac:dyDescent="0.35">
      <c r="A935" t="s">
        <v>10</v>
      </c>
      <c r="B935">
        <v>934</v>
      </c>
      <c r="C935" t="s">
        <v>757</v>
      </c>
      <c r="D935" t="s">
        <v>24</v>
      </c>
      <c r="E935">
        <v>2018</v>
      </c>
      <c r="F935" t="s">
        <v>44</v>
      </c>
      <c r="G935" t="s">
        <v>21</v>
      </c>
      <c r="H935" t="s">
        <v>15</v>
      </c>
      <c r="I935" t="s">
        <v>45</v>
      </c>
      <c r="J935">
        <v>4.2270751000000002E-2</v>
      </c>
      <c r="L935">
        <v>162.52099999999999</v>
      </c>
      <c r="M935">
        <v>4.5</v>
      </c>
    </row>
    <row r="936" spans="1:13" x14ac:dyDescent="0.35">
      <c r="A936" t="s">
        <v>10</v>
      </c>
      <c r="B936">
        <v>935</v>
      </c>
      <c r="C936" t="s">
        <v>758</v>
      </c>
      <c r="D936" t="s">
        <v>12</v>
      </c>
      <c r="E936">
        <v>2018</v>
      </c>
      <c r="F936" t="s">
        <v>44</v>
      </c>
      <c r="G936" t="s">
        <v>21</v>
      </c>
      <c r="H936" t="s">
        <v>15</v>
      </c>
      <c r="I936" t="s">
        <v>45</v>
      </c>
      <c r="J936">
        <v>2.8842331999999998E-2</v>
      </c>
      <c r="L936">
        <v>81.495999999999995</v>
      </c>
      <c r="M936">
        <v>4.5</v>
      </c>
    </row>
    <row r="937" spans="1:13" x14ac:dyDescent="0.35">
      <c r="A937" t="s">
        <v>10</v>
      </c>
      <c r="B937">
        <v>936</v>
      </c>
      <c r="C937" t="s">
        <v>759</v>
      </c>
      <c r="D937" t="s">
        <v>47</v>
      </c>
      <c r="E937">
        <v>2018</v>
      </c>
      <c r="F937" t="s">
        <v>44</v>
      </c>
      <c r="G937" t="s">
        <v>21</v>
      </c>
      <c r="H937" t="s">
        <v>15</v>
      </c>
      <c r="I937" t="s">
        <v>45</v>
      </c>
      <c r="J937">
        <v>1.3951504E-2</v>
      </c>
      <c r="L937">
        <v>199.9084</v>
      </c>
      <c r="M937">
        <v>4.5</v>
      </c>
    </row>
    <row r="938" spans="1:13" x14ac:dyDescent="0.35">
      <c r="A938" t="s">
        <v>10</v>
      </c>
      <c r="B938">
        <v>937</v>
      </c>
      <c r="C938" t="s">
        <v>760</v>
      </c>
      <c r="D938" t="s">
        <v>32</v>
      </c>
      <c r="E938">
        <v>2018</v>
      </c>
      <c r="F938" t="s">
        <v>44</v>
      </c>
      <c r="G938" t="s">
        <v>21</v>
      </c>
      <c r="H938" t="s">
        <v>15</v>
      </c>
      <c r="I938" t="s">
        <v>45</v>
      </c>
      <c r="J938">
        <v>4.4767031999999998E-2</v>
      </c>
      <c r="L938">
        <v>173.7054</v>
      </c>
      <c r="M938">
        <v>4.5</v>
      </c>
    </row>
    <row r="939" spans="1:13" x14ac:dyDescent="0.35">
      <c r="A939" t="s">
        <v>17</v>
      </c>
      <c r="B939">
        <v>938</v>
      </c>
      <c r="C939" t="s">
        <v>476</v>
      </c>
      <c r="D939" t="s">
        <v>94</v>
      </c>
      <c r="E939">
        <v>2018</v>
      </c>
      <c r="F939" t="s">
        <v>44</v>
      </c>
      <c r="G939" t="s">
        <v>21</v>
      </c>
      <c r="H939" t="s">
        <v>15</v>
      </c>
      <c r="I939" t="s">
        <v>45</v>
      </c>
      <c r="J939">
        <v>3.7315468999999997E-2</v>
      </c>
      <c r="L939">
        <v>50.003399999999999</v>
      </c>
      <c r="M939">
        <v>4.5</v>
      </c>
    </row>
    <row r="940" spans="1:13" x14ac:dyDescent="0.35">
      <c r="A940" t="s">
        <v>17</v>
      </c>
      <c r="B940">
        <v>939</v>
      </c>
      <c r="C940" t="s">
        <v>761</v>
      </c>
      <c r="D940" t="s">
        <v>56</v>
      </c>
      <c r="E940">
        <v>2018</v>
      </c>
      <c r="F940" t="s">
        <v>44</v>
      </c>
      <c r="G940" t="s">
        <v>21</v>
      </c>
      <c r="H940" t="s">
        <v>15</v>
      </c>
      <c r="I940" t="s">
        <v>45</v>
      </c>
      <c r="J940">
        <v>2.4407061000000001E-2</v>
      </c>
      <c r="L940">
        <v>102.33320000000001</v>
      </c>
      <c r="M940">
        <v>4.5</v>
      </c>
    </row>
    <row r="941" spans="1:13" x14ac:dyDescent="0.35">
      <c r="A941" t="s">
        <v>17</v>
      </c>
      <c r="B941">
        <v>940</v>
      </c>
      <c r="C941" t="s">
        <v>762</v>
      </c>
      <c r="D941" t="s">
        <v>19</v>
      </c>
      <c r="E941">
        <v>2018</v>
      </c>
      <c r="F941" t="s">
        <v>44</v>
      </c>
      <c r="G941" t="s">
        <v>21</v>
      </c>
      <c r="H941" t="s">
        <v>15</v>
      </c>
      <c r="I941" t="s">
        <v>45</v>
      </c>
      <c r="J941">
        <v>2.0876485E-2</v>
      </c>
      <c r="L941">
        <v>133.79419999999999</v>
      </c>
      <c r="M941">
        <v>4.5</v>
      </c>
    </row>
    <row r="942" spans="1:13" x14ac:dyDescent="0.35">
      <c r="A942" t="s">
        <v>10</v>
      </c>
      <c r="B942">
        <v>941</v>
      </c>
      <c r="C942" t="s">
        <v>498</v>
      </c>
      <c r="D942" t="s">
        <v>66</v>
      </c>
      <c r="E942">
        <v>2018</v>
      </c>
      <c r="F942" t="s">
        <v>44</v>
      </c>
      <c r="G942" t="s">
        <v>21</v>
      </c>
      <c r="H942" t="s">
        <v>15</v>
      </c>
      <c r="I942" t="s">
        <v>45</v>
      </c>
      <c r="J942">
        <v>6.7624437999999995E-2</v>
      </c>
      <c r="L942">
        <v>120.944</v>
      </c>
      <c r="M942">
        <v>4.5</v>
      </c>
    </row>
    <row r="943" spans="1:13" x14ac:dyDescent="0.3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v>975</v>
      </c>
      <c r="C976" t="s">
        <v>785</v>
      </c>
      <c r="D976" t="s">
        <v>28</v>
      </c>
      <c r="E976">
        <v>2018</v>
      </c>
      <c r="F976" t="s">
        <v>44</v>
      </c>
      <c r="G976" t="s">
        <v>21</v>
      </c>
      <c r="H976" t="s">
        <v>15</v>
      </c>
      <c r="I976" t="s">
        <v>45</v>
      </c>
      <c r="J976">
        <v>0</v>
      </c>
      <c r="L976">
        <v>154.63140000000001</v>
      </c>
      <c r="M976">
        <v>4.4000000000000004</v>
      </c>
    </row>
    <row r="977" spans="1:13" x14ac:dyDescent="0.3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v>1267</v>
      </c>
      <c r="C1268" t="s">
        <v>144</v>
      </c>
      <c r="D1268" t="s">
        <v>19</v>
      </c>
      <c r="E1268">
        <v>2018</v>
      </c>
      <c r="F1268" t="s">
        <v>44</v>
      </c>
      <c r="G1268" t="s">
        <v>21</v>
      </c>
      <c r="H1268" t="s">
        <v>15</v>
      </c>
      <c r="I1268" t="s">
        <v>45</v>
      </c>
      <c r="J1268">
        <v>0</v>
      </c>
      <c r="L1268">
        <v>125.173</v>
      </c>
      <c r="M1268">
        <v>4.4000000000000004</v>
      </c>
    </row>
    <row r="1269" spans="1:13" x14ac:dyDescent="0.3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420</v>
      </c>
      <c r="D1408" t="s">
        <v>94</v>
      </c>
      <c r="E1408">
        <v>2012</v>
      </c>
      <c r="F1408" t="s">
        <v>13</v>
      </c>
      <c r="G1408" t="s">
        <v>14</v>
      </c>
      <c r="H1408" t="s">
        <v>15</v>
      </c>
      <c r="I1408" t="s">
        <v>16</v>
      </c>
      <c r="J1408">
        <v>0</v>
      </c>
      <c r="K1408">
        <v>6.78</v>
      </c>
      <c r="L1408">
        <v>95.012</v>
      </c>
      <c r="M1408">
        <v>4.3</v>
      </c>
    </row>
    <row r="1409" spans="1:13" x14ac:dyDescent="0.3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v>1438</v>
      </c>
      <c r="C1439" t="s">
        <v>631</v>
      </c>
      <c r="D1439" t="s">
        <v>94</v>
      </c>
      <c r="E1439">
        <v>2018</v>
      </c>
      <c r="F1439" t="s">
        <v>137</v>
      </c>
      <c r="G1439" t="s">
        <v>14</v>
      </c>
      <c r="H1439" t="s">
        <v>26</v>
      </c>
      <c r="I1439" t="s">
        <v>39</v>
      </c>
      <c r="J1439">
        <v>0.208987123</v>
      </c>
      <c r="L1439">
        <v>106.0596</v>
      </c>
      <c r="M1439">
        <v>4.3</v>
      </c>
    </row>
    <row r="1440" spans="1:13" x14ac:dyDescent="0.3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v>1442</v>
      </c>
      <c r="C1443" t="s">
        <v>1017</v>
      </c>
      <c r="D1443" t="s">
        <v>24</v>
      </c>
      <c r="E1443">
        <v>2018</v>
      </c>
      <c r="F1443" t="s">
        <v>137</v>
      </c>
      <c r="G1443" t="s">
        <v>14</v>
      </c>
      <c r="H1443" t="s">
        <v>26</v>
      </c>
      <c r="I1443" t="s">
        <v>39</v>
      </c>
      <c r="J1443">
        <v>0</v>
      </c>
      <c r="L1443">
        <v>109.9254</v>
      </c>
      <c r="M1443">
        <v>4.3</v>
      </c>
    </row>
    <row r="1444" spans="1:13" x14ac:dyDescent="0.3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v>1447</v>
      </c>
      <c r="C1448" t="s">
        <v>990</v>
      </c>
      <c r="D1448" t="s">
        <v>19</v>
      </c>
      <c r="E1448">
        <v>2018</v>
      </c>
      <c r="F1448" t="s">
        <v>137</v>
      </c>
      <c r="G1448" t="s">
        <v>14</v>
      </c>
      <c r="H1448" t="s">
        <v>26</v>
      </c>
      <c r="I1448" t="s">
        <v>39</v>
      </c>
      <c r="J1448">
        <v>0</v>
      </c>
      <c r="L1448">
        <v>40.347999999999999</v>
      </c>
      <c r="M1448">
        <v>4.3</v>
      </c>
    </row>
    <row r="1449" spans="1:13" x14ac:dyDescent="0.3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v>1453</v>
      </c>
      <c r="C1454" t="s">
        <v>1022</v>
      </c>
      <c r="D1454" t="s">
        <v>41</v>
      </c>
      <c r="E1454">
        <v>2018</v>
      </c>
      <c r="F1454" t="s">
        <v>137</v>
      </c>
      <c r="G1454" t="s">
        <v>14</v>
      </c>
      <c r="H1454" t="s">
        <v>26</v>
      </c>
      <c r="I1454" t="s">
        <v>39</v>
      </c>
      <c r="J1454">
        <v>0.13027716</v>
      </c>
      <c r="L1454">
        <v>228.001</v>
      </c>
      <c r="M1454">
        <v>4.3</v>
      </c>
    </row>
    <row r="1455" spans="1:13" x14ac:dyDescent="0.3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v>1462</v>
      </c>
      <c r="C1463" t="s">
        <v>700</v>
      </c>
      <c r="D1463" t="s">
        <v>66</v>
      </c>
      <c r="E1463">
        <v>2018</v>
      </c>
      <c r="F1463" t="s">
        <v>137</v>
      </c>
      <c r="G1463" t="s">
        <v>14</v>
      </c>
      <c r="H1463" t="s">
        <v>26</v>
      </c>
      <c r="I1463" t="s">
        <v>39</v>
      </c>
      <c r="J1463">
        <v>0</v>
      </c>
      <c r="L1463">
        <v>55.9298</v>
      </c>
      <c r="M1463">
        <v>4.3</v>
      </c>
    </row>
    <row r="1464" spans="1:13" x14ac:dyDescent="0.3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v>1470</v>
      </c>
      <c r="C1471" t="s">
        <v>809</v>
      </c>
      <c r="D1471" t="s">
        <v>47</v>
      </c>
      <c r="E1471">
        <v>2018</v>
      </c>
      <c r="F1471" t="s">
        <v>137</v>
      </c>
      <c r="G1471" t="s">
        <v>14</v>
      </c>
      <c r="H1471" t="s">
        <v>26</v>
      </c>
      <c r="I1471" t="s">
        <v>39</v>
      </c>
      <c r="J1471">
        <v>7.8758649E-2</v>
      </c>
      <c r="L1471">
        <v>103.0016</v>
      </c>
      <c r="M1471">
        <v>4.3</v>
      </c>
    </row>
    <row r="1472" spans="1:13" x14ac:dyDescent="0.3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v>1912</v>
      </c>
      <c r="C1913" t="s">
        <v>1183</v>
      </c>
      <c r="D1913" t="s">
        <v>12</v>
      </c>
      <c r="E1913">
        <v>2018</v>
      </c>
      <c r="F1913" t="s">
        <v>44</v>
      </c>
      <c r="G1913" t="s">
        <v>21</v>
      </c>
      <c r="H1913" t="s">
        <v>15</v>
      </c>
      <c r="I1913" t="s">
        <v>45</v>
      </c>
      <c r="J1913">
        <v>0</v>
      </c>
      <c r="L1913">
        <v>245.01439999999999</v>
      </c>
      <c r="M1913">
        <v>4.3</v>
      </c>
    </row>
    <row r="1914" spans="1:13" x14ac:dyDescent="0.3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v>1920</v>
      </c>
      <c r="C1921" t="s">
        <v>1187</v>
      </c>
      <c r="D1921" t="s">
        <v>28</v>
      </c>
      <c r="E1921">
        <v>2018</v>
      </c>
      <c r="F1921" t="s">
        <v>44</v>
      </c>
      <c r="G1921" t="s">
        <v>21</v>
      </c>
      <c r="H1921" t="s">
        <v>15</v>
      </c>
      <c r="I1921" t="s">
        <v>45</v>
      </c>
      <c r="J1921">
        <v>0.116762173</v>
      </c>
      <c r="L1921">
        <v>198.9768</v>
      </c>
      <c r="M1921">
        <v>4.3</v>
      </c>
    </row>
    <row r="1922" spans="1:13" x14ac:dyDescent="0.3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v>1922</v>
      </c>
      <c r="C1923" t="s">
        <v>1064</v>
      </c>
      <c r="D1923" t="s">
        <v>66</v>
      </c>
      <c r="E1923">
        <v>2018</v>
      </c>
      <c r="F1923" t="s">
        <v>44</v>
      </c>
      <c r="G1923" t="s">
        <v>21</v>
      </c>
      <c r="H1923" t="s">
        <v>15</v>
      </c>
      <c r="I1923" t="s">
        <v>45</v>
      </c>
      <c r="J1923">
        <v>1.769927E-2</v>
      </c>
      <c r="L1923">
        <v>74.2012</v>
      </c>
      <c r="M1923">
        <v>4.3</v>
      </c>
    </row>
    <row r="1924" spans="1:13" x14ac:dyDescent="0.3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v>1926</v>
      </c>
      <c r="C1927" t="s">
        <v>1188</v>
      </c>
      <c r="D1927" t="s">
        <v>24</v>
      </c>
      <c r="E1927">
        <v>2018</v>
      </c>
      <c r="F1927" t="s">
        <v>44</v>
      </c>
      <c r="G1927" t="s">
        <v>21</v>
      </c>
      <c r="H1927" t="s">
        <v>15</v>
      </c>
      <c r="I1927" t="s">
        <v>45</v>
      </c>
      <c r="J1927">
        <v>0</v>
      </c>
      <c r="L1927">
        <v>100.7042</v>
      </c>
      <c r="M1927">
        <v>4.3</v>
      </c>
    </row>
    <row r="1928" spans="1:13" x14ac:dyDescent="0.3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v>1930</v>
      </c>
      <c r="C1931" t="s">
        <v>492</v>
      </c>
      <c r="D1931" t="s">
        <v>12</v>
      </c>
      <c r="E1931">
        <v>2018</v>
      </c>
      <c r="F1931" t="s">
        <v>44</v>
      </c>
      <c r="G1931" t="s">
        <v>21</v>
      </c>
      <c r="H1931" t="s">
        <v>15</v>
      </c>
      <c r="I1931" t="s">
        <v>45</v>
      </c>
      <c r="J1931">
        <v>3.5183156E-2</v>
      </c>
      <c r="L1931">
        <v>37.8506</v>
      </c>
      <c r="M1931">
        <v>4.3</v>
      </c>
    </row>
    <row r="1932" spans="1:13" x14ac:dyDescent="0.35">
      <c r="A1932" t="s">
        <v>17</v>
      </c>
      <c r="B1932">
        <v>1931</v>
      </c>
      <c r="C1932" t="s">
        <v>1190</v>
      </c>
      <c r="D1932" t="s">
        <v>12</v>
      </c>
      <c r="E1932">
        <v>2018</v>
      </c>
      <c r="F1932" t="s">
        <v>44</v>
      </c>
      <c r="G1932" t="s">
        <v>21</v>
      </c>
      <c r="H1932" t="s">
        <v>15</v>
      </c>
      <c r="I1932" t="s">
        <v>45</v>
      </c>
      <c r="J1932">
        <v>2.0614212E-2</v>
      </c>
      <c r="L1932">
        <v>126.4046</v>
      </c>
      <c r="M1932">
        <v>4.3</v>
      </c>
    </row>
    <row r="1933" spans="1:13" x14ac:dyDescent="0.3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v>1937</v>
      </c>
      <c r="C1938" t="s">
        <v>325</v>
      </c>
      <c r="D1938" t="s">
        <v>19</v>
      </c>
      <c r="E1938">
        <v>2018</v>
      </c>
      <c r="F1938" t="s">
        <v>44</v>
      </c>
      <c r="G1938" t="s">
        <v>21</v>
      </c>
      <c r="H1938" t="s">
        <v>15</v>
      </c>
      <c r="I1938" t="s">
        <v>45</v>
      </c>
      <c r="J1938">
        <v>0.116366304</v>
      </c>
      <c r="L1938">
        <v>158.363</v>
      </c>
      <c r="M1938">
        <v>4.3</v>
      </c>
    </row>
    <row r="1939" spans="1:13" x14ac:dyDescent="0.3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v>1946</v>
      </c>
      <c r="C1947" t="s">
        <v>150</v>
      </c>
      <c r="D1947" t="s">
        <v>53</v>
      </c>
      <c r="E1947">
        <v>2018</v>
      </c>
      <c r="F1947" t="s">
        <v>44</v>
      </c>
      <c r="G1947" t="s">
        <v>21</v>
      </c>
      <c r="H1947" t="s">
        <v>15</v>
      </c>
      <c r="I1947" t="s">
        <v>45</v>
      </c>
      <c r="J1947">
        <v>1.6653022E-2</v>
      </c>
      <c r="L1947">
        <v>139.518</v>
      </c>
      <c r="M1947">
        <v>4.3</v>
      </c>
    </row>
    <row r="1948" spans="1:13" x14ac:dyDescent="0.3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v>1961</v>
      </c>
      <c r="C1962" t="s">
        <v>935</v>
      </c>
      <c r="D1962" t="s">
        <v>56</v>
      </c>
      <c r="E1962">
        <v>2018</v>
      </c>
      <c r="F1962" t="s">
        <v>44</v>
      </c>
      <c r="G1962" t="s">
        <v>21</v>
      </c>
      <c r="H1962" t="s">
        <v>15</v>
      </c>
      <c r="I1962" t="s">
        <v>45</v>
      </c>
      <c r="J1962">
        <v>4.368089E-2</v>
      </c>
      <c r="L1962">
        <v>110.157</v>
      </c>
      <c r="M1962">
        <v>4.3</v>
      </c>
    </row>
    <row r="1963" spans="1:13" x14ac:dyDescent="0.35">
      <c r="A1963" t="s">
        <v>10</v>
      </c>
      <c r="B1963">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v>1963</v>
      </c>
      <c r="C1964" t="s">
        <v>159</v>
      </c>
      <c r="D1964" t="s">
        <v>28</v>
      </c>
      <c r="E1964">
        <v>2018</v>
      </c>
      <c r="F1964" t="s">
        <v>44</v>
      </c>
      <c r="G1964" t="s">
        <v>21</v>
      </c>
      <c r="H1964" t="s">
        <v>15</v>
      </c>
      <c r="I1964" t="s">
        <v>45</v>
      </c>
      <c r="J1964">
        <v>0</v>
      </c>
      <c r="L1964">
        <v>100.3674</v>
      </c>
      <c r="M1964">
        <v>4.3</v>
      </c>
    </row>
    <row r="1965" spans="1:13" x14ac:dyDescent="0.3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v>1972</v>
      </c>
      <c r="C1973" t="s">
        <v>1200</v>
      </c>
      <c r="D1973" t="s">
        <v>47</v>
      </c>
      <c r="E1973">
        <v>2018</v>
      </c>
      <c r="F1973" t="s">
        <v>44</v>
      </c>
      <c r="G1973" t="s">
        <v>21</v>
      </c>
      <c r="H1973" t="s">
        <v>15</v>
      </c>
      <c r="I1973" t="s">
        <v>45</v>
      </c>
      <c r="J1973">
        <v>8.7894475E-2</v>
      </c>
      <c r="L1973">
        <v>121.173</v>
      </c>
      <c r="M1973">
        <v>4.3</v>
      </c>
    </row>
    <row r="1974" spans="1:13" x14ac:dyDescent="0.3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v>1987</v>
      </c>
      <c r="C1988" t="s">
        <v>900</v>
      </c>
      <c r="D1988" t="s">
        <v>24</v>
      </c>
      <c r="E1988">
        <v>2017</v>
      </c>
      <c r="F1988" t="s">
        <v>49</v>
      </c>
      <c r="G1988" t="s">
        <v>34</v>
      </c>
      <c r="H1988" t="s">
        <v>26</v>
      </c>
      <c r="I1988" t="s">
        <v>16</v>
      </c>
      <c r="J1988">
        <v>0</v>
      </c>
      <c r="K1988">
        <v>14</v>
      </c>
      <c r="L1988">
        <v>53.064</v>
      </c>
      <c r="M1988">
        <v>4.2</v>
      </c>
    </row>
    <row r="1989" spans="1:13" x14ac:dyDescent="0.3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1217</v>
      </c>
      <c r="D2018" t="s">
        <v>28</v>
      </c>
      <c r="E2018">
        <v>2018</v>
      </c>
      <c r="F2018" t="s">
        <v>137</v>
      </c>
      <c r="G2018" t="s">
        <v>14</v>
      </c>
      <c r="H2018" t="s">
        <v>26</v>
      </c>
      <c r="I2018" t="s">
        <v>39</v>
      </c>
      <c r="J2018">
        <v>0</v>
      </c>
      <c r="L2018">
        <v>160.69200000000001</v>
      </c>
      <c r="M2018">
        <v>4.2</v>
      </c>
    </row>
    <row r="2019" spans="1:13" x14ac:dyDescent="0.3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752</v>
      </c>
      <c r="D2028" t="s">
        <v>41</v>
      </c>
      <c r="E2028">
        <v>2018</v>
      </c>
      <c r="F2028" t="s">
        <v>137</v>
      </c>
      <c r="G2028" t="s">
        <v>14</v>
      </c>
      <c r="H2028" t="s">
        <v>26</v>
      </c>
      <c r="I2028" t="s">
        <v>39</v>
      </c>
      <c r="J2028">
        <v>0.164864915</v>
      </c>
      <c r="L2028">
        <v>255.2698</v>
      </c>
      <c r="M2028">
        <v>4.2</v>
      </c>
    </row>
    <row r="2029" spans="1:13" x14ac:dyDescent="0.3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1057</v>
      </c>
      <c r="D2045" t="s">
        <v>32</v>
      </c>
      <c r="E2045">
        <v>2011</v>
      </c>
      <c r="F2045" t="s">
        <v>38</v>
      </c>
      <c r="G2045" t="s">
        <v>21</v>
      </c>
      <c r="H2045" t="s">
        <v>15</v>
      </c>
      <c r="I2045" t="s">
        <v>39</v>
      </c>
      <c r="J2045">
        <v>0</v>
      </c>
      <c r="K2045">
        <v>9.5</v>
      </c>
      <c r="L2045">
        <v>32.89</v>
      </c>
      <c r="M2045">
        <v>4.2</v>
      </c>
    </row>
    <row r="2046" spans="1:13" x14ac:dyDescent="0.3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v>2126</v>
      </c>
      <c r="C2127" t="s">
        <v>704</v>
      </c>
      <c r="D2127" t="s">
        <v>28</v>
      </c>
      <c r="E2127">
        <v>2018</v>
      </c>
      <c r="F2127" t="s">
        <v>137</v>
      </c>
      <c r="G2127" t="s">
        <v>14</v>
      </c>
      <c r="H2127" t="s">
        <v>26</v>
      </c>
      <c r="I2127" t="s">
        <v>39</v>
      </c>
      <c r="J2127">
        <v>0.137539574</v>
      </c>
      <c r="L2127">
        <v>38.8506</v>
      </c>
      <c r="M2127">
        <v>4.2</v>
      </c>
    </row>
    <row r="2128" spans="1:13" x14ac:dyDescent="0.35">
      <c r="A2128" t="s">
        <v>17</v>
      </c>
      <c r="B2128">
        <v>2127</v>
      </c>
      <c r="C2128" t="s">
        <v>162</v>
      </c>
      <c r="D2128" t="s">
        <v>28</v>
      </c>
      <c r="E2128">
        <v>2018</v>
      </c>
      <c r="F2128" t="s">
        <v>137</v>
      </c>
      <c r="G2128" t="s">
        <v>14</v>
      </c>
      <c r="H2128" t="s">
        <v>26</v>
      </c>
      <c r="I2128" t="s">
        <v>39</v>
      </c>
      <c r="J2128">
        <v>1.8275994E-2</v>
      </c>
      <c r="L2128">
        <v>115.2808</v>
      </c>
      <c r="M2128">
        <v>4.2</v>
      </c>
    </row>
    <row r="2129" spans="1:13" x14ac:dyDescent="0.35">
      <c r="A2129" t="s">
        <v>17</v>
      </c>
      <c r="B2129">
        <v>2128</v>
      </c>
      <c r="C2129" t="s">
        <v>943</v>
      </c>
      <c r="D2129" t="s">
        <v>28</v>
      </c>
      <c r="E2129">
        <v>2018</v>
      </c>
      <c r="F2129" t="s">
        <v>137</v>
      </c>
      <c r="G2129" t="s">
        <v>14</v>
      </c>
      <c r="H2129" t="s">
        <v>26</v>
      </c>
      <c r="I2129" t="s">
        <v>39</v>
      </c>
      <c r="J2129">
        <v>3.1069203E-2</v>
      </c>
      <c r="L2129">
        <v>179.6686</v>
      </c>
      <c r="M2129">
        <v>4.2</v>
      </c>
    </row>
    <row r="2130" spans="1:13" x14ac:dyDescent="0.3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v>2130</v>
      </c>
      <c r="C2131" t="s">
        <v>1143</v>
      </c>
      <c r="D2131" t="s">
        <v>24</v>
      </c>
      <c r="E2131">
        <v>2018</v>
      </c>
      <c r="F2131" t="s">
        <v>137</v>
      </c>
      <c r="G2131" t="s">
        <v>14</v>
      </c>
      <c r="H2131" t="s">
        <v>26</v>
      </c>
      <c r="I2131" t="s">
        <v>39</v>
      </c>
      <c r="J2131">
        <v>0</v>
      </c>
      <c r="L2131">
        <v>98.241</v>
      </c>
      <c r="M2131">
        <v>4.2</v>
      </c>
    </row>
    <row r="2132" spans="1:13" x14ac:dyDescent="0.3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v>2139</v>
      </c>
      <c r="C2140" t="s">
        <v>280</v>
      </c>
      <c r="D2140" t="s">
        <v>32</v>
      </c>
      <c r="E2140">
        <v>2018</v>
      </c>
      <c r="F2140" t="s">
        <v>137</v>
      </c>
      <c r="G2140" t="s">
        <v>14</v>
      </c>
      <c r="H2140" t="s">
        <v>26</v>
      </c>
      <c r="I2140" t="s">
        <v>39</v>
      </c>
      <c r="J2140">
        <v>0.124448295</v>
      </c>
      <c r="L2140">
        <v>112.0518</v>
      </c>
      <c r="M2140">
        <v>4.2</v>
      </c>
    </row>
    <row r="2141" spans="1:13" x14ac:dyDescent="0.3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v>2142</v>
      </c>
      <c r="C2143" t="s">
        <v>954</v>
      </c>
      <c r="D2143" t="s">
        <v>66</v>
      </c>
      <c r="E2143">
        <v>2018</v>
      </c>
      <c r="F2143" t="s">
        <v>137</v>
      </c>
      <c r="G2143" t="s">
        <v>14</v>
      </c>
      <c r="H2143" t="s">
        <v>26</v>
      </c>
      <c r="I2143" t="s">
        <v>39</v>
      </c>
      <c r="J2143">
        <v>0.168901843</v>
      </c>
      <c r="L2143">
        <v>43.4086</v>
      </c>
      <c r="M2143">
        <v>4.2</v>
      </c>
    </row>
    <row r="2144" spans="1:13" x14ac:dyDescent="0.3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v>2147</v>
      </c>
      <c r="C2148" t="s">
        <v>398</v>
      </c>
      <c r="D2148" t="s">
        <v>12</v>
      </c>
      <c r="E2148">
        <v>2018</v>
      </c>
      <c r="F2148" t="s">
        <v>137</v>
      </c>
      <c r="G2148" t="s">
        <v>14</v>
      </c>
      <c r="H2148" t="s">
        <v>26</v>
      </c>
      <c r="I2148" t="s">
        <v>39</v>
      </c>
      <c r="J2148">
        <v>0.11173569</v>
      </c>
      <c r="L2148">
        <v>115.9492</v>
      </c>
      <c r="M2148">
        <v>4.2</v>
      </c>
    </row>
    <row r="2149" spans="1:13" x14ac:dyDescent="0.3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v>2150</v>
      </c>
      <c r="C2151" t="s">
        <v>1208</v>
      </c>
      <c r="D2151" t="s">
        <v>53</v>
      </c>
      <c r="E2151">
        <v>2018</v>
      </c>
      <c r="F2151" t="s">
        <v>137</v>
      </c>
      <c r="G2151" t="s">
        <v>14</v>
      </c>
      <c r="H2151" t="s">
        <v>26</v>
      </c>
      <c r="I2151" t="s">
        <v>39</v>
      </c>
      <c r="J2151">
        <v>0.133279499</v>
      </c>
      <c r="L2151">
        <v>112.6202</v>
      </c>
      <c r="M2151">
        <v>4.2</v>
      </c>
    </row>
    <row r="2152" spans="1:13" x14ac:dyDescent="0.3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750</v>
      </c>
      <c r="D2550" t="s">
        <v>41</v>
      </c>
      <c r="E2550">
        <v>2022</v>
      </c>
      <c r="F2550" t="s">
        <v>20</v>
      </c>
      <c r="G2550" t="s">
        <v>21</v>
      </c>
      <c r="H2550" t="s">
        <v>15</v>
      </c>
      <c r="I2550" t="s">
        <v>22</v>
      </c>
      <c r="J2550">
        <v>0</v>
      </c>
      <c r="K2550">
        <v>20.5</v>
      </c>
      <c r="L2550">
        <v>37.119</v>
      </c>
      <c r="M2550">
        <v>4.2</v>
      </c>
    </row>
    <row r="2551" spans="1:13" x14ac:dyDescent="0.3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61</v>
      </c>
      <c r="D2578" t="s">
        <v>12</v>
      </c>
      <c r="E2578">
        <v>2022</v>
      </c>
      <c r="F2578" t="s">
        <v>20</v>
      </c>
      <c r="G2578" t="s">
        <v>21</v>
      </c>
      <c r="H2578" t="s">
        <v>15</v>
      </c>
      <c r="I2578" t="s">
        <v>22</v>
      </c>
      <c r="J2578">
        <v>0</v>
      </c>
      <c r="K2578">
        <v>15.1</v>
      </c>
      <c r="L2578">
        <v>63.7194</v>
      </c>
      <c r="M2578">
        <v>4.2</v>
      </c>
    </row>
    <row r="2579" spans="1:13" x14ac:dyDescent="0.3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198</v>
      </c>
      <c r="D2595" t="s">
        <v>94</v>
      </c>
      <c r="E2595">
        <v>2018</v>
      </c>
      <c r="F2595" t="s">
        <v>44</v>
      </c>
      <c r="G2595" t="s">
        <v>21</v>
      </c>
      <c r="H2595" t="s">
        <v>15</v>
      </c>
      <c r="I2595" t="s">
        <v>45</v>
      </c>
      <c r="J2595">
        <v>0.112718928</v>
      </c>
      <c r="L2595">
        <v>54.2956</v>
      </c>
      <c r="M2595">
        <v>4.2</v>
      </c>
    </row>
    <row r="2596" spans="1:13" x14ac:dyDescent="0.3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v>2598</v>
      </c>
      <c r="C2599" t="s">
        <v>631</v>
      </c>
      <c r="D2599" t="s">
        <v>94</v>
      </c>
      <c r="E2599">
        <v>2018</v>
      </c>
      <c r="F2599" t="s">
        <v>44</v>
      </c>
      <c r="G2599" t="s">
        <v>21</v>
      </c>
      <c r="H2599" t="s">
        <v>15</v>
      </c>
      <c r="I2599" t="s">
        <v>45</v>
      </c>
      <c r="J2599">
        <v>0.118783796</v>
      </c>
      <c r="L2599">
        <v>108.5596</v>
      </c>
      <c r="M2599">
        <v>4.2</v>
      </c>
    </row>
    <row r="2600" spans="1:13" x14ac:dyDescent="0.3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v>2601</v>
      </c>
      <c r="C2602" t="s">
        <v>588</v>
      </c>
      <c r="D2602" t="s">
        <v>66</v>
      </c>
      <c r="E2602">
        <v>2018</v>
      </c>
      <c r="F2602" t="s">
        <v>44</v>
      </c>
      <c r="G2602" t="s">
        <v>21</v>
      </c>
      <c r="H2602" t="s">
        <v>15</v>
      </c>
      <c r="I2602" t="s">
        <v>45</v>
      </c>
      <c r="J2602">
        <v>3.0288215E-2</v>
      </c>
      <c r="L2602">
        <v>256.7672</v>
      </c>
      <c r="M2602">
        <v>4.2</v>
      </c>
    </row>
    <row r="2603" spans="1:13" x14ac:dyDescent="0.3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v>2613</v>
      </c>
      <c r="C2614" t="s">
        <v>296</v>
      </c>
      <c r="D2614" t="s">
        <v>19</v>
      </c>
      <c r="E2614">
        <v>2018</v>
      </c>
      <c r="F2614" t="s">
        <v>44</v>
      </c>
      <c r="G2614" t="s">
        <v>21</v>
      </c>
      <c r="H2614" t="s">
        <v>15</v>
      </c>
      <c r="I2614" t="s">
        <v>45</v>
      </c>
      <c r="J2614">
        <v>8.9343433E-2</v>
      </c>
      <c r="L2614">
        <v>157.3604</v>
      </c>
      <c r="M2614">
        <v>4.2</v>
      </c>
    </row>
    <row r="2615" spans="1:13" x14ac:dyDescent="0.3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v>2618</v>
      </c>
      <c r="C2619" t="s">
        <v>1114</v>
      </c>
      <c r="D2619" t="s">
        <v>41</v>
      </c>
      <c r="E2619">
        <v>2018</v>
      </c>
      <c r="F2619" t="s">
        <v>44</v>
      </c>
      <c r="G2619" t="s">
        <v>21</v>
      </c>
      <c r="H2619" t="s">
        <v>15</v>
      </c>
      <c r="I2619" t="s">
        <v>45</v>
      </c>
      <c r="J2619">
        <v>0.124110734</v>
      </c>
      <c r="L2619">
        <v>111.7544</v>
      </c>
      <c r="M2619">
        <v>4.2</v>
      </c>
    </row>
    <row r="2620" spans="1:13" x14ac:dyDescent="0.3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v>2622</v>
      </c>
      <c r="C2623" t="s">
        <v>1352</v>
      </c>
      <c r="D2623" t="s">
        <v>47</v>
      </c>
      <c r="E2623">
        <v>2018</v>
      </c>
      <c r="F2623" t="s">
        <v>44</v>
      </c>
      <c r="G2623" t="s">
        <v>21</v>
      </c>
      <c r="H2623" t="s">
        <v>15</v>
      </c>
      <c r="I2623" t="s">
        <v>45</v>
      </c>
      <c r="J2623">
        <v>0</v>
      </c>
      <c r="L2623">
        <v>119.8124</v>
      </c>
      <c r="M2623">
        <v>4.2</v>
      </c>
    </row>
    <row r="2624" spans="1:13" x14ac:dyDescent="0.3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v>2625</v>
      </c>
      <c r="C2626" t="s">
        <v>117</v>
      </c>
      <c r="D2626" t="s">
        <v>47</v>
      </c>
      <c r="E2626">
        <v>2018</v>
      </c>
      <c r="F2626" t="s">
        <v>44</v>
      </c>
      <c r="G2626" t="s">
        <v>21</v>
      </c>
      <c r="H2626" t="s">
        <v>15</v>
      </c>
      <c r="I2626" t="s">
        <v>45</v>
      </c>
      <c r="J2626">
        <v>0</v>
      </c>
      <c r="L2626">
        <v>240.62219999999999</v>
      </c>
      <c r="M2626">
        <v>4.2</v>
      </c>
    </row>
    <row r="2627" spans="1:13" x14ac:dyDescent="0.3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v>2635</v>
      </c>
      <c r="C2636" t="s">
        <v>1137</v>
      </c>
      <c r="D2636" t="s">
        <v>56</v>
      </c>
      <c r="E2636">
        <v>2018</v>
      </c>
      <c r="F2636" t="s">
        <v>44</v>
      </c>
      <c r="G2636" t="s">
        <v>21</v>
      </c>
      <c r="H2636" t="s">
        <v>15</v>
      </c>
      <c r="I2636" t="s">
        <v>45</v>
      </c>
      <c r="J2636">
        <v>2.923013E-2</v>
      </c>
      <c r="L2636">
        <v>189.4556</v>
      </c>
      <c r="M2636">
        <v>4.2</v>
      </c>
    </row>
    <row r="2637" spans="1:13" x14ac:dyDescent="0.3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v>2642</v>
      </c>
      <c r="C2643" t="s">
        <v>1360</v>
      </c>
      <c r="D2643" t="s">
        <v>24</v>
      </c>
      <c r="E2643">
        <v>2018</v>
      </c>
      <c r="F2643" t="s">
        <v>44</v>
      </c>
      <c r="G2643" t="s">
        <v>21</v>
      </c>
      <c r="H2643" t="s">
        <v>15</v>
      </c>
      <c r="I2643" t="s">
        <v>45</v>
      </c>
      <c r="J2643">
        <v>0</v>
      </c>
      <c r="L2643">
        <v>130.53100000000001</v>
      </c>
      <c r="M2643">
        <v>4.2</v>
      </c>
    </row>
    <row r="2644" spans="1:13" x14ac:dyDescent="0.3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v>2645</v>
      </c>
      <c r="C2646" t="s">
        <v>613</v>
      </c>
      <c r="D2646" t="s">
        <v>47</v>
      </c>
      <c r="E2646">
        <v>2018</v>
      </c>
      <c r="F2646" t="s">
        <v>44</v>
      </c>
      <c r="G2646" t="s">
        <v>21</v>
      </c>
      <c r="H2646" t="s">
        <v>15</v>
      </c>
      <c r="I2646" t="s">
        <v>45</v>
      </c>
      <c r="J2646">
        <v>8.9512542E-2</v>
      </c>
      <c r="L2646">
        <v>133.1626</v>
      </c>
      <c r="M2646">
        <v>4.2</v>
      </c>
    </row>
    <row r="2647" spans="1:13" x14ac:dyDescent="0.35">
      <c r="A2647" t="s">
        <v>10</v>
      </c>
      <c r="B2647">
        <v>2646</v>
      </c>
      <c r="C2647" t="s">
        <v>318</v>
      </c>
      <c r="D2647" t="s">
        <v>47</v>
      </c>
      <c r="E2647">
        <v>2018</v>
      </c>
      <c r="F2647" t="s">
        <v>44</v>
      </c>
      <c r="G2647" t="s">
        <v>21</v>
      </c>
      <c r="H2647" t="s">
        <v>15</v>
      </c>
      <c r="I2647" t="s">
        <v>45</v>
      </c>
      <c r="J2647">
        <v>0.104786172</v>
      </c>
      <c r="L2647">
        <v>172.2764</v>
      </c>
      <c r="M2647">
        <v>4.2</v>
      </c>
    </row>
    <row r="2648" spans="1:13" x14ac:dyDescent="0.3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v>3230</v>
      </c>
      <c r="C3231" t="s">
        <v>253</v>
      </c>
      <c r="D3231" t="s">
        <v>24</v>
      </c>
      <c r="E3231">
        <v>2016</v>
      </c>
      <c r="F3231" t="s">
        <v>25</v>
      </c>
      <c r="G3231" t="s">
        <v>14</v>
      </c>
      <c r="H3231" t="s">
        <v>26</v>
      </c>
      <c r="I3231" t="s">
        <v>16</v>
      </c>
      <c r="J3231">
        <v>0</v>
      </c>
      <c r="K3231">
        <v>20</v>
      </c>
      <c r="L3231">
        <v>127.3678</v>
      </c>
      <c r="M3231">
        <v>4</v>
      </c>
    </row>
    <row r="3232" spans="1:13" x14ac:dyDescent="0.3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v>3316</v>
      </c>
      <c r="C3317" t="s">
        <v>1454</v>
      </c>
      <c r="D3317" t="s">
        <v>73</v>
      </c>
      <c r="E3317">
        <v>2018</v>
      </c>
      <c r="F3317" t="s">
        <v>137</v>
      </c>
      <c r="G3317" t="s">
        <v>14</v>
      </c>
      <c r="H3317" t="s">
        <v>26</v>
      </c>
      <c r="I3317" t="s">
        <v>39</v>
      </c>
      <c r="J3317">
        <v>0.106907604</v>
      </c>
      <c r="L3317">
        <v>162.8526</v>
      </c>
      <c r="M3317">
        <v>4</v>
      </c>
    </row>
    <row r="3318" spans="1:13" x14ac:dyDescent="0.3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v>3320</v>
      </c>
      <c r="C3321" t="s">
        <v>1276</v>
      </c>
      <c r="D3321" t="s">
        <v>66</v>
      </c>
      <c r="E3321">
        <v>2018</v>
      </c>
      <c r="F3321" t="s">
        <v>137</v>
      </c>
      <c r="G3321" t="s">
        <v>14</v>
      </c>
      <c r="H3321" t="s">
        <v>26</v>
      </c>
      <c r="I3321" t="s">
        <v>39</v>
      </c>
      <c r="J3321">
        <v>0.122832172</v>
      </c>
      <c r="L3321">
        <v>217.685</v>
      </c>
      <c r="M3321">
        <v>4</v>
      </c>
    </row>
    <row r="3322" spans="1:13" x14ac:dyDescent="0.3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v>3339</v>
      </c>
      <c r="C3340" t="s">
        <v>1457</v>
      </c>
      <c r="D3340" t="s">
        <v>28</v>
      </c>
      <c r="E3340">
        <v>2018</v>
      </c>
      <c r="F3340" t="s">
        <v>137</v>
      </c>
      <c r="G3340" t="s">
        <v>14</v>
      </c>
      <c r="H3340" t="s">
        <v>26</v>
      </c>
      <c r="I3340" t="s">
        <v>39</v>
      </c>
      <c r="J3340">
        <v>0</v>
      </c>
      <c r="L3340">
        <v>169.87899999999999</v>
      </c>
      <c r="M3340">
        <v>4</v>
      </c>
    </row>
    <row r="3341" spans="1:13" x14ac:dyDescent="0.3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v>3344</v>
      </c>
      <c r="C3345" t="s">
        <v>1425</v>
      </c>
      <c r="D3345" t="s">
        <v>12</v>
      </c>
      <c r="E3345">
        <v>2018</v>
      </c>
      <c r="F3345" t="s">
        <v>137</v>
      </c>
      <c r="G3345" t="s">
        <v>14</v>
      </c>
      <c r="H3345" t="s">
        <v>26</v>
      </c>
      <c r="I3345" t="s">
        <v>39</v>
      </c>
      <c r="J3345">
        <v>0.214139786</v>
      </c>
      <c r="L3345">
        <v>102.4016</v>
      </c>
      <c r="M3345">
        <v>4</v>
      </c>
    </row>
    <row r="3346" spans="1:13" x14ac:dyDescent="0.35">
      <c r="A3346" t="s">
        <v>10</v>
      </c>
      <c r="B3346">
        <v>3345</v>
      </c>
      <c r="C3346" t="s">
        <v>605</v>
      </c>
      <c r="D3346" t="s">
        <v>12</v>
      </c>
      <c r="E3346">
        <v>2018</v>
      </c>
      <c r="F3346" t="s">
        <v>137</v>
      </c>
      <c r="G3346" t="s">
        <v>14</v>
      </c>
      <c r="H3346" t="s">
        <v>26</v>
      </c>
      <c r="I3346" t="s">
        <v>39</v>
      </c>
      <c r="J3346">
        <v>0</v>
      </c>
      <c r="L3346">
        <v>178.5318</v>
      </c>
      <c r="M3346">
        <v>4</v>
      </c>
    </row>
    <row r="3347" spans="1:13" x14ac:dyDescent="0.3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v>3349</v>
      </c>
      <c r="C3350" t="s">
        <v>693</v>
      </c>
      <c r="D3350" t="s">
        <v>41</v>
      </c>
      <c r="E3350">
        <v>2018</v>
      </c>
      <c r="F3350" t="s">
        <v>137</v>
      </c>
      <c r="G3350" t="s">
        <v>14</v>
      </c>
      <c r="H3350" t="s">
        <v>26</v>
      </c>
      <c r="I3350" t="s">
        <v>39</v>
      </c>
      <c r="J3350">
        <v>2.4992442E-2</v>
      </c>
      <c r="L3350">
        <v>53.6614</v>
      </c>
      <c r="M3350">
        <v>4</v>
      </c>
    </row>
    <row r="3351" spans="1:13" x14ac:dyDescent="0.3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893</v>
      </c>
      <c r="D3438" t="s">
        <v>41</v>
      </c>
      <c r="E3438">
        <v>2015</v>
      </c>
      <c r="F3438" t="s">
        <v>33</v>
      </c>
      <c r="G3438" t="s">
        <v>34</v>
      </c>
      <c r="H3438" t="s">
        <v>26</v>
      </c>
      <c r="I3438" t="s">
        <v>16</v>
      </c>
      <c r="J3438">
        <v>0</v>
      </c>
      <c r="K3438">
        <v>9.6</v>
      </c>
      <c r="L3438">
        <v>164.2184</v>
      </c>
      <c r="M3438">
        <v>4</v>
      </c>
    </row>
    <row r="3439" spans="1:13" x14ac:dyDescent="0.3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760</v>
      </c>
      <c r="D3700" t="s">
        <v>32</v>
      </c>
      <c r="E3700">
        <v>2014</v>
      </c>
      <c r="F3700" t="s">
        <v>29</v>
      </c>
      <c r="G3700" t="s">
        <v>21</v>
      </c>
      <c r="H3700" t="s">
        <v>30</v>
      </c>
      <c r="I3700" t="s">
        <v>16</v>
      </c>
      <c r="J3700">
        <v>0</v>
      </c>
      <c r="K3700">
        <v>13</v>
      </c>
      <c r="L3700">
        <v>173.6054</v>
      </c>
      <c r="M3700">
        <v>4</v>
      </c>
    </row>
    <row r="3701" spans="1:13" x14ac:dyDescent="0.3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v>3773</v>
      </c>
      <c r="C3774" t="s">
        <v>703</v>
      </c>
      <c r="D3774" t="s">
        <v>56</v>
      </c>
      <c r="E3774">
        <v>2018</v>
      </c>
      <c r="F3774" t="s">
        <v>44</v>
      </c>
      <c r="G3774" t="s">
        <v>21</v>
      </c>
      <c r="H3774" t="s">
        <v>15</v>
      </c>
      <c r="I3774" t="s">
        <v>45</v>
      </c>
      <c r="J3774">
        <v>7.8831762E-2</v>
      </c>
      <c r="L3774">
        <v>98.97</v>
      </c>
      <c r="M3774">
        <v>4</v>
      </c>
    </row>
    <row r="3775" spans="1:13" x14ac:dyDescent="0.3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v>3783</v>
      </c>
      <c r="C3784" t="s">
        <v>168</v>
      </c>
      <c r="D3784" t="s">
        <v>12</v>
      </c>
      <c r="E3784">
        <v>2018</v>
      </c>
      <c r="F3784" t="s">
        <v>44</v>
      </c>
      <c r="G3784" t="s">
        <v>21</v>
      </c>
      <c r="H3784" t="s">
        <v>15</v>
      </c>
      <c r="I3784" t="s">
        <v>45</v>
      </c>
      <c r="J3784">
        <v>0</v>
      </c>
      <c r="L3784">
        <v>253.03559999999999</v>
      </c>
      <c r="M3784">
        <v>4</v>
      </c>
    </row>
    <row r="3785" spans="1:13" x14ac:dyDescent="0.3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v>3792</v>
      </c>
      <c r="C3793" t="s">
        <v>931</v>
      </c>
      <c r="D3793" t="s">
        <v>47</v>
      </c>
      <c r="E3793">
        <v>2018</v>
      </c>
      <c r="F3793" t="s">
        <v>44</v>
      </c>
      <c r="G3793" t="s">
        <v>21</v>
      </c>
      <c r="H3793" t="s">
        <v>15</v>
      </c>
      <c r="I3793" t="s">
        <v>45</v>
      </c>
      <c r="J3793">
        <v>0</v>
      </c>
      <c r="L3793">
        <v>45.742800000000003</v>
      </c>
      <c r="M3793">
        <v>4</v>
      </c>
    </row>
    <row r="3794" spans="1:13" x14ac:dyDescent="0.3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v>3794</v>
      </c>
      <c r="C3795" t="s">
        <v>624</v>
      </c>
      <c r="D3795" t="s">
        <v>47</v>
      </c>
      <c r="E3795">
        <v>2018</v>
      </c>
      <c r="F3795" t="s">
        <v>44</v>
      </c>
      <c r="G3795" t="s">
        <v>21</v>
      </c>
      <c r="H3795" t="s">
        <v>15</v>
      </c>
      <c r="I3795" t="s">
        <v>45</v>
      </c>
      <c r="J3795">
        <v>2.9793955E-2</v>
      </c>
      <c r="L3795">
        <v>167.2816</v>
      </c>
      <c r="M3795">
        <v>4</v>
      </c>
    </row>
    <row r="3796" spans="1:13" x14ac:dyDescent="0.35">
      <c r="A3796" t="s">
        <v>17</v>
      </c>
      <c r="B3796">
        <v>3795</v>
      </c>
      <c r="C3796" t="s">
        <v>915</v>
      </c>
      <c r="D3796" t="s">
        <v>47</v>
      </c>
      <c r="E3796">
        <v>2018</v>
      </c>
      <c r="F3796" t="s">
        <v>44</v>
      </c>
      <c r="G3796" t="s">
        <v>21</v>
      </c>
      <c r="H3796" t="s">
        <v>15</v>
      </c>
      <c r="I3796" t="s">
        <v>45</v>
      </c>
      <c r="J3796">
        <v>0</v>
      </c>
      <c r="L3796">
        <v>248.8092</v>
      </c>
      <c r="M3796">
        <v>4</v>
      </c>
    </row>
    <row r="3797" spans="1:13" x14ac:dyDescent="0.3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v>3797</v>
      </c>
      <c r="C3798" t="s">
        <v>1266</v>
      </c>
      <c r="D3798" t="s">
        <v>32</v>
      </c>
      <c r="E3798">
        <v>2018</v>
      </c>
      <c r="F3798" t="s">
        <v>44</v>
      </c>
      <c r="G3798" t="s">
        <v>21</v>
      </c>
      <c r="H3798" t="s">
        <v>15</v>
      </c>
      <c r="I3798" t="s">
        <v>45</v>
      </c>
      <c r="J3798">
        <v>0</v>
      </c>
      <c r="L3798">
        <v>121.044</v>
      </c>
      <c r="M3798">
        <v>4</v>
      </c>
    </row>
    <row r="3799" spans="1:13" x14ac:dyDescent="0.3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v>3803</v>
      </c>
      <c r="C3804" t="s">
        <v>977</v>
      </c>
      <c r="D3804" t="s">
        <v>66</v>
      </c>
      <c r="E3804">
        <v>2018</v>
      </c>
      <c r="F3804" t="s">
        <v>44</v>
      </c>
      <c r="G3804" t="s">
        <v>21</v>
      </c>
      <c r="H3804" t="s">
        <v>15</v>
      </c>
      <c r="I3804" t="s">
        <v>45</v>
      </c>
      <c r="J3804">
        <v>2.2403117E-2</v>
      </c>
      <c r="L3804">
        <v>250.9092</v>
      </c>
      <c r="M3804">
        <v>4</v>
      </c>
    </row>
    <row r="3805" spans="1:13" x14ac:dyDescent="0.3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v>3811</v>
      </c>
      <c r="C3812" t="s">
        <v>1425</v>
      </c>
      <c r="D3812" t="s">
        <v>12</v>
      </c>
      <c r="E3812">
        <v>2018</v>
      </c>
      <c r="F3812" t="s">
        <v>44</v>
      </c>
      <c r="G3812" t="s">
        <v>21</v>
      </c>
      <c r="H3812" t="s">
        <v>15</v>
      </c>
      <c r="I3812" t="s">
        <v>45</v>
      </c>
      <c r="J3812">
        <v>0.121712459</v>
      </c>
      <c r="L3812">
        <v>101.2016</v>
      </c>
      <c r="M3812">
        <v>4</v>
      </c>
    </row>
    <row r="3813" spans="1:13" x14ac:dyDescent="0.3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v>3816</v>
      </c>
      <c r="C3817" t="s">
        <v>1011</v>
      </c>
      <c r="D3817" t="s">
        <v>12</v>
      </c>
      <c r="E3817">
        <v>2018</v>
      </c>
      <c r="F3817" t="s">
        <v>44</v>
      </c>
      <c r="G3817" t="s">
        <v>21</v>
      </c>
      <c r="H3817" t="s">
        <v>15</v>
      </c>
      <c r="I3817" t="s">
        <v>45</v>
      </c>
      <c r="J3817">
        <v>0.112668963</v>
      </c>
      <c r="L3817">
        <v>191.0504</v>
      </c>
      <c r="M3817">
        <v>4</v>
      </c>
    </row>
    <row r="3818" spans="1:13" x14ac:dyDescent="0.3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v>3895</v>
      </c>
      <c r="C3896" t="s">
        <v>1291</v>
      </c>
      <c r="D3896" t="s">
        <v>32</v>
      </c>
      <c r="E3896">
        <v>2018</v>
      </c>
      <c r="F3896" t="s">
        <v>137</v>
      </c>
      <c r="G3896" t="s">
        <v>14</v>
      </c>
      <c r="H3896" t="s">
        <v>26</v>
      </c>
      <c r="I3896" t="s">
        <v>39</v>
      </c>
      <c r="J3896">
        <v>0.168780127</v>
      </c>
      <c r="L3896">
        <v>197.8768</v>
      </c>
      <c r="M3896">
        <v>3.9</v>
      </c>
    </row>
    <row r="3897" spans="1:13" x14ac:dyDescent="0.3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v>3899</v>
      </c>
      <c r="C3900" t="s">
        <v>1523</v>
      </c>
      <c r="D3900" t="s">
        <v>12</v>
      </c>
      <c r="E3900">
        <v>2018</v>
      </c>
      <c r="F3900" t="s">
        <v>137</v>
      </c>
      <c r="G3900" t="s">
        <v>14</v>
      </c>
      <c r="H3900" t="s">
        <v>26</v>
      </c>
      <c r="I3900" t="s">
        <v>39</v>
      </c>
      <c r="J3900">
        <v>0</v>
      </c>
      <c r="L3900">
        <v>126.6994</v>
      </c>
      <c r="M3900">
        <v>3.9</v>
      </c>
    </row>
    <row r="3901" spans="1:13" x14ac:dyDescent="0.3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v>3906</v>
      </c>
      <c r="C3907" t="s">
        <v>434</v>
      </c>
      <c r="D3907" t="s">
        <v>41</v>
      </c>
      <c r="E3907">
        <v>2018</v>
      </c>
      <c r="F3907" t="s">
        <v>137</v>
      </c>
      <c r="G3907" t="s">
        <v>14</v>
      </c>
      <c r="H3907" t="s">
        <v>26</v>
      </c>
      <c r="I3907" t="s">
        <v>39</v>
      </c>
      <c r="J3907">
        <v>2.8207784E-2</v>
      </c>
      <c r="L3907">
        <v>195.5478</v>
      </c>
      <c r="M3907">
        <v>3.9</v>
      </c>
    </row>
    <row r="3908" spans="1:13" x14ac:dyDescent="0.35">
      <c r="A3908" t="s">
        <v>17</v>
      </c>
      <c r="B3908">
        <v>3907</v>
      </c>
      <c r="C3908" t="s">
        <v>113</v>
      </c>
      <c r="D3908" t="s">
        <v>41</v>
      </c>
      <c r="E3908">
        <v>2018</v>
      </c>
      <c r="F3908" t="s">
        <v>137</v>
      </c>
      <c r="G3908" t="s">
        <v>14</v>
      </c>
      <c r="H3908" t="s">
        <v>26</v>
      </c>
      <c r="I3908" t="s">
        <v>39</v>
      </c>
      <c r="J3908">
        <v>0.19875618</v>
      </c>
      <c r="L3908">
        <v>250.7724</v>
      </c>
      <c r="M3908">
        <v>3.9</v>
      </c>
    </row>
    <row r="3909" spans="1:13" x14ac:dyDescent="0.35">
      <c r="A3909" t="s">
        <v>17</v>
      </c>
      <c r="B3909">
        <v>3908</v>
      </c>
      <c r="C3909" t="s">
        <v>1317</v>
      </c>
      <c r="D3909" t="s">
        <v>63</v>
      </c>
      <c r="E3909">
        <v>2018</v>
      </c>
      <c r="F3909" t="s">
        <v>137</v>
      </c>
      <c r="G3909" t="s">
        <v>14</v>
      </c>
      <c r="H3909" t="s">
        <v>26</v>
      </c>
      <c r="I3909" t="s">
        <v>39</v>
      </c>
      <c r="J3909">
        <v>0.159394437</v>
      </c>
      <c r="L3909">
        <v>105.6938</v>
      </c>
      <c r="M3909">
        <v>3.9</v>
      </c>
    </row>
    <row r="3910" spans="1:13" x14ac:dyDescent="0.3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v>3910</v>
      </c>
      <c r="C3911" t="s">
        <v>1413</v>
      </c>
      <c r="D3911" t="s">
        <v>66</v>
      </c>
      <c r="E3911">
        <v>2018</v>
      </c>
      <c r="F3911" t="s">
        <v>137</v>
      </c>
      <c r="G3911" t="s">
        <v>14</v>
      </c>
      <c r="H3911" t="s">
        <v>26</v>
      </c>
      <c r="I3911" t="s">
        <v>39</v>
      </c>
      <c r="J3911">
        <v>1.4497036E-2</v>
      </c>
      <c r="L3911">
        <v>150.8708</v>
      </c>
      <c r="M3911">
        <v>3.9</v>
      </c>
    </row>
    <row r="3912" spans="1:13" x14ac:dyDescent="0.3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420</v>
      </c>
      <c r="D4067" t="s">
        <v>94</v>
      </c>
      <c r="E4067">
        <v>2014</v>
      </c>
      <c r="F4067" t="s">
        <v>29</v>
      </c>
      <c r="G4067" t="s">
        <v>21</v>
      </c>
      <c r="H4067" t="s">
        <v>30</v>
      </c>
      <c r="I4067" t="s">
        <v>16</v>
      </c>
      <c r="J4067">
        <v>0</v>
      </c>
      <c r="K4067">
        <v>6.78</v>
      </c>
      <c r="L4067">
        <v>94.012</v>
      </c>
      <c r="M4067">
        <v>3.9</v>
      </c>
    </row>
    <row r="4068" spans="1:13" x14ac:dyDescent="0.3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v>4109</v>
      </c>
      <c r="C4110" t="s">
        <v>80</v>
      </c>
      <c r="D4110" t="s">
        <v>12</v>
      </c>
      <c r="E4110">
        <v>2018</v>
      </c>
      <c r="F4110" t="s">
        <v>44</v>
      </c>
      <c r="G4110" t="s">
        <v>21</v>
      </c>
      <c r="H4110" t="s">
        <v>15</v>
      </c>
      <c r="I4110" t="s">
        <v>45</v>
      </c>
      <c r="J4110">
        <v>0</v>
      </c>
      <c r="L4110">
        <v>45.940199999999997</v>
      </c>
      <c r="M4110">
        <v>3.9</v>
      </c>
    </row>
    <row r="4111" spans="1:13" x14ac:dyDescent="0.35">
      <c r="A4111" t="s">
        <v>17</v>
      </c>
      <c r="B4111">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v>4115</v>
      </c>
      <c r="C4116" t="s">
        <v>1476</v>
      </c>
      <c r="D4116" t="s">
        <v>41</v>
      </c>
      <c r="E4116">
        <v>2018</v>
      </c>
      <c r="F4116" t="s">
        <v>44</v>
      </c>
      <c r="G4116" t="s">
        <v>21</v>
      </c>
      <c r="H4116" t="s">
        <v>15</v>
      </c>
      <c r="I4116" t="s">
        <v>45</v>
      </c>
      <c r="J4116">
        <v>0.134418705</v>
      </c>
      <c r="L4116">
        <v>99.67</v>
      </c>
      <c r="M4116">
        <v>3.9</v>
      </c>
    </row>
    <row r="4117" spans="1:13" x14ac:dyDescent="0.3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v>4118</v>
      </c>
      <c r="C4119" t="s">
        <v>1536</v>
      </c>
      <c r="D4119" t="s">
        <v>32</v>
      </c>
      <c r="E4119">
        <v>2018</v>
      </c>
      <c r="F4119" t="s">
        <v>44</v>
      </c>
      <c r="G4119" t="s">
        <v>21</v>
      </c>
      <c r="H4119" t="s">
        <v>15</v>
      </c>
      <c r="I4119" t="s">
        <v>45</v>
      </c>
      <c r="J4119">
        <v>0</v>
      </c>
      <c r="L4119">
        <v>153.80240000000001</v>
      </c>
      <c r="M4119">
        <v>3.9</v>
      </c>
    </row>
    <row r="4120" spans="1:13" x14ac:dyDescent="0.3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v>4123</v>
      </c>
      <c r="C4124" t="s">
        <v>1483</v>
      </c>
      <c r="D4124" t="s">
        <v>12</v>
      </c>
      <c r="E4124">
        <v>2018</v>
      </c>
      <c r="F4124" t="s">
        <v>44</v>
      </c>
      <c r="G4124" t="s">
        <v>21</v>
      </c>
      <c r="H4124" t="s">
        <v>15</v>
      </c>
      <c r="I4124" t="s">
        <v>45</v>
      </c>
      <c r="J4124">
        <v>2.2807826E-2</v>
      </c>
      <c r="L4124">
        <v>183.495</v>
      </c>
      <c r="M4124">
        <v>3.9</v>
      </c>
    </row>
    <row r="4125" spans="1:13" x14ac:dyDescent="0.3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v>4179</v>
      </c>
      <c r="C4180" t="s">
        <v>643</v>
      </c>
      <c r="D4180" t="s">
        <v>32</v>
      </c>
      <c r="E4180">
        <v>2018</v>
      </c>
      <c r="F4180" t="s">
        <v>137</v>
      </c>
      <c r="G4180" t="s">
        <v>14</v>
      </c>
      <c r="H4180" t="s">
        <v>26</v>
      </c>
      <c r="I4180" t="s">
        <v>39</v>
      </c>
      <c r="J4180">
        <v>3.3929133E-2</v>
      </c>
      <c r="L4180">
        <v>154.3972</v>
      </c>
      <c r="M4180">
        <v>3.8</v>
      </c>
    </row>
    <row r="4181" spans="1:13" x14ac:dyDescent="0.3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v>4181</v>
      </c>
      <c r="C4182" t="s">
        <v>1060</v>
      </c>
      <c r="D4182" t="s">
        <v>94</v>
      </c>
      <c r="E4182">
        <v>2018</v>
      </c>
      <c r="F4182" t="s">
        <v>137</v>
      </c>
      <c r="G4182" t="s">
        <v>14</v>
      </c>
      <c r="H4182" t="s">
        <v>26</v>
      </c>
      <c r="I4182" t="s">
        <v>39</v>
      </c>
      <c r="J4182">
        <v>0</v>
      </c>
      <c r="L4182">
        <v>81.861800000000002</v>
      </c>
      <c r="M4182">
        <v>3.8</v>
      </c>
    </row>
    <row r="4183" spans="1:13" x14ac:dyDescent="0.35">
      <c r="A4183" t="s">
        <v>17</v>
      </c>
      <c r="B4183">
        <v>4182</v>
      </c>
      <c r="C4183" t="s">
        <v>765</v>
      </c>
      <c r="D4183" t="s">
        <v>28</v>
      </c>
      <c r="E4183">
        <v>2018</v>
      </c>
      <c r="F4183" t="s">
        <v>137</v>
      </c>
      <c r="G4183" t="s">
        <v>14</v>
      </c>
      <c r="H4183" t="s">
        <v>26</v>
      </c>
      <c r="I4183" t="s">
        <v>39</v>
      </c>
      <c r="J4183">
        <v>1.9716846E-2</v>
      </c>
      <c r="L4183">
        <v>191.9188</v>
      </c>
      <c r="M4183">
        <v>3.8</v>
      </c>
    </row>
    <row r="4184" spans="1:13" x14ac:dyDescent="0.3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v>4187</v>
      </c>
      <c r="C4188" t="s">
        <v>630</v>
      </c>
      <c r="D4188" t="s">
        <v>63</v>
      </c>
      <c r="E4188">
        <v>2018</v>
      </c>
      <c r="F4188" t="s">
        <v>137</v>
      </c>
      <c r="G4188" t="s">
        <v>14</v>
      </c>
      <c r="H4188" t="s">
        <v>26</v>
      </c>
      <c r="I4188" t="s">
        <v>39</v>
      </c>
      <c r="J4188">
        <v>1.1835436E-2</v>
      </c>
      <c r="L4188">
        <v>121.373</v>
      </c>
      <c r="M4188">
        <v>3.8</v>
      </c>
    </row>
    <row r="4189" spans="1:13" x14ac:dyDescent="0.35">
      <c r="A4189" t="s">
        <v>10</v>
      </c>
      <c r="B4189">
        <v>4188</v>
      </c>
      <c r="C4189" t="s">
        <v>419</v>
      </c>
      <c r="D4189" t="s">
        <v>94</v>
      </c>
      <c r="E4189">
        <v>2018</v>
      </c>
      <c r="F4189" t="s">
        <v>137</v>
      </c>
      <c r="G4189" t="s">
        <v>14</v>
      </c>
      <c r="H4189" t="s">
        <v>26</v>
      </c>
      <c r="I4189" t="s">
        <v>39</v>
      </c>
      <c r="J4189">
        <v>0</v>
      </c>
      <c r="L4189">
        <v>121.3098</v>
      </c>
      <c r="M4189">
        <v>3.8</v>
      </c>
    </row>
    <row r="4190" spans="1:13" x14ac:dyDescent="0.35">
      <c r="A4190" t="s">
        <v>10</v>
      </c>
      <c r="B4190">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v>4362</v>
      </c>
      <c r="C4363" t="s">
        <v>142</v>
      </c>
      <c r="D4363" t="s">
        <v>12</v>
      </c>
      <c r="E4363">
        <v>2018</v>
      </c>
      <c r="F4363" t="s">
        <v>44</v>
      </c>
      <c r="G4363" t="s">
        <v>21</v>
      </c>
      <c r="H4363" t="s">
        <v>15</v>
      </c>
      <c r="I4363" t="s">
        <v>45</v>
      </c>
      <c r="J4363">
        <v>2.5612348E-2</v>
      </c>
      <c r="L4363">
        <v>168.2474</v>
      </c>
      <c r="M4363">
        <v>3.8</v>
      </c>
    </row>
    <row r="4364" spans="1:13" x14ac:dyDescent="0.3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v>4388</v>
      </c>
      <c r="C4389" t="s">
        <v>608</v>
      </c>
      <c r="D4389" t="s">
        <v>41</v>
      </c>
      <c r="E4389">
        <v>2018</v>
      </c>
      <c r="F4389" t="s">
        <v>44</v>
      </c>
      <c r="G4389" t="s">
        <v>21</v>
      </c>
      <c r="H4389" t="s">
        <v>15</v>
      </c>
      <c r="I4389" t="s">
        <v>45</v>
      </c>
      <c r="J4389">
        <v>2.8459761E-2</v>
      </c>
      <c r="L4389">
        <v>149.9708</v>
      </c>
      <c r="M4389">
        <v>3.7</v>
      </c>
    </row>
    <row r="4390" spans="1:13" x14ac:dyDescent="0.3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v>4394</v>
      </c>
      <c r="C4395" t="s">
        <v>1510</v>
      </c>
      <c r="D4395" t="s">
        <v>28</v>
      </c>
      <c r="E4395">
        <v>2018</v>
      </c>
      <c r="F4395" t="s">
        <v>44</v>
      </c>
      <c r="G4395" t="s">
        <v>21</v>
      </c>
      <c r="H4395" t="s">
        <v>15</v>
      </c>
      <c r="I4395" t="s">
        <v>45</v>
      </c>
      <c r="J4395">
        <v>0.101338651</v>
      </c>
      <c r="L4395">
        <v>232.63</v>
      </c>
      <c r="M4395">
        <v>3.7</v>
      </c>
    </row>
    <row r="4396" spans="1:13" x14ac:dyDescent="0.3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v>4434</v>
      </c>
      <c r="C4435" t="s">
        <v>82</v>
      </c>
      <c r="D4435" t="s">
        <v>12</v>
      </c>
      <c r="E4435">
        <v>2018</v>
      </c>
      <c r="F4435" t="s">
        <v>137</v>
      </c>
      <c r="G4435" t="s">
        <v>14</v>
      </c>
      <c r="H4435" t="s">
        <v>26</v>
      </c>
      <c r="I4435" t="s">
        <v>39</v>
      </c>
      <c r="J4435">
        <v>0.100493148</v>
      </c>
      <c r="L4435">
        <v>123.1046</v>
      </c>
      <c r="M4435">
        <v>3.7</v>
      </c>
    </row>
    <row r="4436" spans="1:13" x14ac:dyDescent="0.3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v>4587</v>
      </c>
      <c r="C4588" t="s">
        <v>134</v>
      </c>
      <c r="D4588" t="s">
        <v>94</v>
      </c>
      <c r="E4588">
        <v>2018</v>
      </c>
      <c r="F4588" t="s">
        <v>44</v>
      </c>
      <c r="G4588" t="s">
        <v>21</v>
      </c>
      <c r="H4588" t="s">
        <v>15</v>
      </c>
      <c r="I4588" t="s">
        <v>45</v>
      </c>
      <c r="J4588">
        <v>0</v>
      </c>
      <c r="L4588">
        <v>75.9328</v>
      </c>
      <c r="M4588">
        <v>3.7</v>
      </c>
    </row>
    <row r="4589" spans="1:13" x14ac:dyDescent="0.3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v>4624</v>
      </c>
      <c r="C4625" t="s">
        <v>245</v>
      </c>
      <c r="D4625" t="s">
        <v>47</v>
      </c>
      <c r="E4625">
        <v>2018</v>
      </c>
      <c r="F4625" t="s">
        <v>137</v>
      </c>
      <c r="G4625" t="s">
        <v>14</v>
      </c>
      <c r="H4625" t="s">
        <v>26</v>
      </c>
      <c r="I4625" t="s">
        <v>39</v>
      </c>
      <c r="J4625">
        <v>0.160665697</v>
      </c>
      <c r="L4625">
        <v>227.5352</v>
      </c>
      <c r="M4625">
        <v>3.6</v>
      </c>
    </row>
    <row r="4626" spans="1:13" x14ac:dyDescent="0.3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v>4628</v>
      </c>
      <c r="C4629" t="s">
        <v>261</v>
      </c>
      <c r="D4629" t="s">
        <v>47</v>
      </c>
      <c r="E4629">
        <v>2018</v>
      </c>
      <c r="F4629" t="s">
        <v>137</v>
      </c>
      <c r="G4629" t="s">
        <v>14</v>
      </c>
      <c r="H4629" t="s">
        <v>26</v>
      </c>
      <c r="I4629" t="s">
        <v>39</v>
      </c>
      <c r="J4629">
        <v>0</v>
      </c>
      <c r="L4629">
        <v>262.89100000000002</v>
      </c>
      <c r="M4629">
        <v>3.6</v>
      </c>
    </row>
    <row r="4630" spans="1:13" x14ac:dyDescent="0.3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501</v>
      </c>
      <c r="D4729" t="s">
        <v>66</v>
      </c>
      <c r="E4729">
        <v>2018</v>
      </c>
      <c r="F4729" t="s">
        <v>44</v>
      </c>
      <c r="G4729" t="s">
        <v>21</v>
      </c>
      <c r="H4729" t="s">
        <v>15</v>
      </c>
      <c r="I4729" t="s">
        <v>45</v>
      </c>
      <c r="J4729">
        <v>0</v>
      </c>
      <c r="L4729">
        <v>89.185599999999994</v>
      </c>
      <c r="M4729">
        <v>3.6</v>
      </c>
    </row>
    <row r="4730" spans="1:13" x14ac:dyDescent="0.3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v>4743</v>
      </c>
      <c r="C4744" t="s">
        <v>900</v>
      </c>
      <c r="D4744" t="s">
        <v>24</v>
      </c>
      <c r="E4744">
        <v>2018</v>
      </c>
      <c r="F4744" t="s">
        <v>44</v>
      </c>
      <c r="G4744" t="s">
        <v>21</v>
      </c>
      <c r="H4744" t="s">
        <v>15</v>
      </c>
      <c r="I4744" t="s">
        <v>45</v>
      </c>
      <c r="J4744">
        <v>0.13511820199999999</v>
      </c>
      <c r="L4744">
        <v>52.564</v>
      </c>
      <c r="M4744">
        <v>3.6</v>
      </c>
    </row>
    <row r="4745" spans="1:13" x14ac:dyDescent="0.3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v>4786</v>
      </c>
      <c r="C4787" t="s">
        <v>884</v>
      </c>
      <c r="D4787" t="s">
        <v>53</v>
      </c>
      <c r="E4787">
        <v>2018</v>
      </c>
      <c r="F4787" t="s">
        <v>137</v>
      </c>
      <c r="G4787" t="s">
        <v>14</v>
      </c>
      <c r="H4787" t="s">
        <v>26</v>
      </c>
      <c r="I4787" t="s">
        <v>39</v>
      </c>
      <c r="J4787">
        <v>0</v>
      </c>
      <c r="L4787">
        <v>98.2042</v>
      </c>
      <c r="M4787">
        <v>3.5</v>
      </c>
    </row>
    <row r="4788" spans="1:13" x14ac:dyDescent="0.3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v>4897</v>
      </c>
      <c r="C4898" t="s">
        <v>873</v>
      </c>
      <c r="D4898" t="s">
        <v>56</v>
      </c>
      <c r="E4898">
        <v>2018</v>
      </c>
      <c r="F4898" t="s">
        <v>44</v>
      </c>
      <c r="G4898" t="s">
        <v>21</v>
      </c>
      <c r="H4898" t="s">
        <v>15</v>
      </c>
      <c r="I4898" t="s">
        <v>45</v>
      </c>
      <c r="J4898">
        <v>0.105324246</v>
      </c>
      <c r="L4898">
        <v>125.7046</v>
      </c>
      <c r="M4898">
        <v>3.5</v>
      </c>
    </row>
    <row r="4899" spans="1:13" x14ac:dyDescent="0.3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v>4899</v>
      </c>
      <c r="C4900" t="s">
        <v>826</v>
      </c>
      <c r="D4900" t="s">
        <v>66</v>
      </c>
      <c r="E4900">
        <v>2018</v>
      </c>
      <c r="F4900" t="s">
        <v>44</v>
      </c>
      <c r="G4900" t="s">
        <v>21</v>
      </c>
      <c r="H4900" t="s">
        <v>15</v>
      </c>
      <c r="I4900" t="s">
        <v>45</v>
      </c>
      <c r="J4900">
        <v>0.119371835</v>
      </c>
      <c r="L4900">
        <v>45.2744</v>
      </c>
      <c r="M4900">
        <v>3.5</v>
      </c>
    </row>
    <row r="4901" spans="1:13" x14ac:dyDescent="0.3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v>4902</v>
      </c>
      <c r="C4903" t="s">
        <v>1575</v>
      </c>
      <c r="D4903" t="s">
        <v>12</v>
      </c>
      <c r="E4903">
        <v>2018</v>
      </c>
      <c r="F4903" t="s">
        <v>44</v>
      </c>
      <c r="G4903" t="s">
        <v>21</v>
      </c>
      <c r="H4903" t="s">
        <v>15</v>
      </c>
      <c r="I4903" t="s">
        <v>45</v>
      </c>
      <c r="J4903">
        <v>0</v>
      </c>
      <c r="L4903">
        <v>55.729799999999997</v>
      </c>
      <c r="M4903">
        <v>3.5</v>
      </c>
    </row>
    <row r="4904" spans="1:13" x14ac:dyDescent="0.35">
      <c r="A4904" t="s">
        <v>17</v>
      </c>
      <c r="B4904">
        <v>4903</v>
      </c>
      <c r="C4904" t="s">
        <v>1278</v>
      </c>
      <c r="D4904" t="s">
        <v>12</v>
      </c>
      <c r="E4904">
        <v>2018</v>
      </c>
      <c r="F4904" t="s">
        <v>44</v>
      </c>
      <c r="G4904" t="s">
        <v>21</v>
      </c>
      <c r="H4904" t="s">
        <v>15</v>
      </c>
      <c r="I4904" t="s">
        <v>45</v>
      </c>
      <c r="J4904">
        <v>1.2215675E-2</v>
      </c>
      <c r="L4904">
        <v>162.7894</v>
      </c>
      <c r="M4904">
        <v>3.5</v>
      </c>
    </row>
    <row r="4905" spans="1:13" x14ac:dyDescent="0.3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v>4912</v>
      </c>
      <c r="C4913" t="s">
        <v>1576</v>
      </c>
      <c r="D4913" t="s">
        <v>66</v>
      </c>
      <c r="E4913">
        <v>2018</v>
      </c>
      <c r="F4913" t="s">
        <v>44</v>
      </c>
      <c r="G4913" t="s">
        <v>21</v>
      </c>
      <c r="H4913" t="s">
        <v>15</v>
      </c>
      <c r="I4913" t="s">
        <v>45</v>
      </c>
      <c r="J4913">
        <v>0</v>
      </c>
      <c r="L4913">
        <v>184.26079999999999</v>
      </c>
      <c r="M4913">
        <v>3.5</v>
      </c>
    </row>
    <row r="4914" spans="1:13" x14ac:dyDescent="0.3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v>4934</v>
      </c>
      <c r="C4935" t="s">
        <v>1056</v>
      </c>
      <c r="D4935" t="s">
        <v>47</v>
      </c>
      <c r="E4935">
        <v>2018</v>
      </c>
      <c r="F4935" t="s">
        <v>137</v>
      </c>
      <c r="G4935" t="s">
        <v>14</v>
      </c>
      <c r="H4935" t="s">
        <v>26</v>
      </c>
      <c r="I4935" t="s">
        <v>39</v>
      </c>
      <c r="J4935">
        <v>6.216667E-2</v>
      </c>
      <c r="L4935">
        <v>112.3518</v>
      </c>
      <c r="M4935">
        <v>3.4</v>
      </c>
    </row>
    <row r="4936" spans="1:13" x14ac:dyDescent="0.3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v>5021</v>
      </c>
      <c r="C5022" t="s">
        <v>625</v>
      </c>
      <c r="D5022" t="s">
        <v>19</v>
      </c>
      <c r="E5022">
        <v>2018</v>
      </c>
      <c r="F5022" t="s">
        <v>137</v>
      </c>
      <c r="G5022" t="s">
        <v>14</v>
      </c>
      <c r="H5022" t="s">
        <v>26</v>
      </c>
      <c r="I5022" t="s">
        <v>39</v>
      </c>
      <c r="J5022">
        <v>9.1411749E-2</v>
      </c>
      <c r="L5022">
        <v>121.373</v>
      </c>
      <c r="M5022">
        <v>3.3</v>
      </c>
    </row>
    <row r="5023" spans="1:13" x14ac:dyDescent="0.3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494</v>
      </c>
      <c r="D5112" t="s">
        <v>66</v>
      </c>
      <c r="E5112">
        <v>2018</v>
      </c>
      <c r="F5112" t="s">
        <v>44</v>
      </c>
      <c r="G5112" t="s">
        <v>21</v>
      </c>
      <c r="H5112" t="s">
        <v>15</v>
      </c>
      <c r="I5112" t="s">
        <v>45</v>
      </c>
      <c r="J5112">
        <v>0</v>
      </c>
      <c r="L5112">
        <v>175.30279999999999</v>
      </c>
      <c r="M5112">
        <v>3.3</v>
      </c>
    </row>
    <row r="5113" spans="1:13" x14ac:dyDescent="0.3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v>5169</v>
      </c>
      <c r="C5170" t="s">
        <v>667</v>
      </c>
      <c r="D5170" t="s">
        <v>12</v>
      </c>
      <c r="E5170">
        <v>2018</v>
      </c>
      <c r="F5170" t="s">
        <v>44</v>
      </c>
      <c r="G5170" t="s">
        <v>21</v>
      </c>
      <c r="H5170" t="s">
        <v>15</v>
      </c>
      <c r="I5170" t="s">
        <v>45</v>
      </c>
      <c r="J5170">
        <v>0</v>
      </c>
      <c r="L5170">
        <v>255.7988</v>
      </c>
      <c r="M5170">
        <v>3.2</v>
      </c>
    </row>
    <row r="5171" spans="1:13" x14ac:dyDescent="0.3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v>5220</v>
      </c>
      <c r="C5221" t="s">
        <v>806</v>
      </c>
      <c r="D5221" t="s">
        <v>12</v>
      </c>
      <c r="E5221">
        <v>2018</v>
      </c>
      <c r="F5221" t="s">
        <v>44</v>
      </c>
      <c r="G5221" t="s">
        <v>21</v>
      </c>
      <c r="H5221" t="s">
        <v>15</v>
      </c>
      <c r="I5221" t="s">
        <v>45</v>
      </c>
      <c r="J5221">
        <v>2.9510313E-2</v>
      </c>
      <c r="L5221">
        <v>141.9838</v>
      </c>
      <c r="M5221">
        <v>3.1</v>
      </c>
    </row>
    <row r="5222" spans="1:13" x14ac:dyDescent="0.35">
      <c r="A5222" t="s">
        <v>10</v>
      </c>
      <c r="B5222">
        <v>5221</v>
      </c>
      <c r="C5222" t="s">
        <v>456</v>
      </c>
      <c r="D5222" t="s">
        <v>53</v>
      </c>
      <c r="E5222">
        <v>2018</v>
      </c>
      <c r="F5222" t="s">
        <v>44</v>
      </c>
      <c r="G5222" t="s">
        <v>21</v>
      </c>
      <c r="H5222" t="s">
        <v>15</v>
      </c>
      <c r="I5222" t="s">
        <v>45</v>
      </c>
      <c r="J5222">
        <v>3.3276066E-2</v>
      </c>
      <c r="L5222">
        <v>153.8314</v>
      </c>
      <c r="M5222">
        <v>3.1</v>
      </c>
    </row>
    <row r="5223" spans="1:13" x14ac:dyDescent="0.3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390</v>
      </c>
      <c r="D5243" t="s">
        <v>47</v>
      </c>
      <c r="E5243">
        <v>2018</v>
      </c>
      <c r="F5243" t="s">
        <v>44</v>
      </c>
      <c r="G5243" t="s">
        <v>21</v>
      </c>
      <c r="H5243" t="s">
        <v>15</v>
      </c>
      <c r="I5243" t="s">
        <v>45</v>
      </c>
      <c r="J5243">
        <v>0.154627247</v>
      </c>
      <c r="L5243">
        <v>177.637</v>
      </c>
      <c r="M5243">
        <v>3</v>
      </c>
    </row>
    <row r="5244" spans="1:13" x14ac:dyDescent="0.3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v>5273</v>
      </c>
      <c r="C5274" t="s">
        <v>853</v>
      </c>
      <c r="D5274" t="s">
        <v>66</v>
      </c>
      <c r="E5274">
        <v>2018</v>
      </c>
      <c r="F5274" t="s">
        <v>137</v>
      </c>
      <c r="G5274" t="s">
        <v>14</v>
      </c>
      <c r="H5274" t="s">
        <v>26</v>
      </c>
      <c r="I5274" t="s">
        <v>39</v>
      </c>
      <c r="J5274">
        <v>0</v>
      </c>
      <c r="L5274">
        <v>75.966999999999999</v>
      </c>
      <c r="M5274">
        <v>3</v>
      </c>
    </row>
    <row r="5275" spans="1:13" x14ac:dyDescent="0.3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v>5396</v>
      </c>
      <c r="C5397" t="s">
        <v>1301</v>
      </c>
      <c r="D5397" t="s">
        <v>28</v>
      </c>
      <c r="E5397">
        <v>2018</v>
      </c>
      <c r="F5397" t="s">
        <v>44</v>
      </c>
      <c r="G5397" t="s">
        <v>21</v>
      </c>
      <c r="H5397" t="s">
        <v>15</v>
      </c>
      <c r="I5397" t="s">
        <v>45</v>
      </c>
      <c r="J5397">
        <v>0.14095631</v>
      </c>
      <c r="L5397">
        <v>167.7132</v>
      </c>
      <c r="M5397">
        <v>3</v>
      </c>
    </row>
    <row r="5398" spans="1:13" x14ac:dyDescent="0.3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v>5401</v>
      </c>
      <c r="C5402" t="s">
        <v>40</v>
      </c>
      <c r="D5402" t="s">
        <v>41</v>
      </c>
      <c r="E5402">
        <v>2018</v>
      </c>
      <c r="F5402" t="s">
        <v>44</v>
      </c>
      <c r="G5402" t="s">
        <v>21</v>
      </c>
      <c r="H5402" t="s">
        <v>15</v>
      </c>
      <c r="I5402" t="s">
        <v>45</v>
      </c>
      <c r="J5402">
        <v>0</v>
      </c>
      <c r="L5402">
        <v>98.172600000000003</v>
      </c>
      <c r="M5402">
        <v>3</v>
      </c>
    </row>
    <row r="5403" spans="1:13" x14ac:dyDescent="0.35">
      <c r="A5403" t="s">
        <v>17</v>
      </c>
      <c r="B5403">
        <v>5402</v>
      </c>
      <c r="C5403" t="s">
        <v>1249</v>
      </c>
      <c r="D5403" t="s">
        <v>41</v>
      </c>
      <c r="E5403">
        <v>2018</v>
      </c>
      <c r="F5403" t="s">
        <v>44</v>
      </c>
      <c r="G5403" t="s">
        <v>21</v>
      </c>
      <c r="H5403" t="s">
        <v>15</v>
      </c>
      <c r="I5403" t="s">
        <v>45</v>
      </c>
      <c r="J5403">
        <v>0.111777297</v>
      </c>
      <c r="L5403">
        <v>124.6046</v>
      </c>
      <c r="M5403">
        <v>3</v>
      </c>
    </row>
    <row r="5404" spans="1:13" x14ac:dyDescent="0.3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v>5421</v>
      </c>
      <c r="C5422" t="s">
        <v>567</v>
      </c>
      <c r="D5422" t="s">
        <v>32</v>
      </c>
      <c r="E5422">
        <v>2018</v>
      </c>
      <c r="F5422" t="s">
        <v>137</v>
      </c>
      <c r="G5422" t="s">
        <v>14</v>
      </c>
      <c r="H5422" t="s">
        <v>26</v>
      </c>
      <c r="I5422" t="s">
        <v>39</v>
      </c>
      <c r="J5422">
        <v>0</v>
      </c>
      <c r="L5422">
        <v>261.291</v>
      </c>
      <c r="M5422">
        <v>2.9</v>
      </c>
    </row>
    <row r="5423" spans="1:13" x14ac:dyDescent="0.3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v>5483</v>
      </c>
      <c r="C5484" t="s">
        <v>1084</v>
      </c>
      <c r="D5484" t="s">
        <v>19</v>
      </c>
      <c r="E5484">
        <v>2018</v>
      </c>
      <c r="F5484" t="s">
        <v>44</v>
      </c>
      <c r="G5484" t="s">
        <v>21</v>
      </c>
      <c r="H5484" t="s">
        <v>15</v>
      </c>
      <c r="I5484" t="s">
        <v>45</v>
      </c>
      <c r="J5484">
        <v>0.174336148</v>
      </c>
      <c r="L5484">
        <v>184.0608</v>
      </c>
      <c r="M5484">
        <v>2.8</v>
      </c>
    </row>
    <row r="5485" spans="1:13" x14ac:dyDescent="0.3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1522</v>
      </c>
      <c r="D5538" t="s">
        <v>47</v>
      </c>
      <c r="E5538">
        <v>2018</v>
      </c>
      <c r="F5538" t="s">
        <v>137</v>
      </c>
      <c r="G5538" t="s">
        <v>14</v>
      </c>
      <c r="H5538" t="s">
        <v>26</v>
      </c>
      <c r="I5538" t="s">
        <v>39</v>
      </c>
      <c r="J5538">
        <v>0</v>
      </c>
      <c r="L5538">
        <v>154.53399999999999</v>
      </c>
      <c r="M5538">
        <v>2.5</v>
      </c>
    </row>
    <row r="5539" spans="1:13" x14ac:dyDescent="0.3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1532</v>
      </c>
      <c r="D5622" t="s">
        <v>24</v>
      </c>
      <c r="E5622">
        <v>2018</v>
      </c>
      <c r="F5622" t="s">
        <v>44</v>
      </c>
      <c r="G5622" t="s">
        <v>21</v>
      </c>
      <c r="H5622" t="s">
        <v>15</v>
      </c>
      <c r="I5622" t="s">
        <v>45</v>
      </c>
      <c r="J5622">
        <v>0</v>
      </c>
      <c r="L5622">
        <v>37.050600000000003</v>
      </c>
      <c r="M5622">
        <v>2.1</v>
      </c>
    </row>
    <row r="5623" spans="1:13" x14ac:dyDescent="0.3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v>5693</v>
      </c>
      <c r="C5694" t="s">
        <v>1107</v>
      </c>
      <c r="D5694" t="s">
        <v>12</v>
      </c>
      <c r="E5694">
        <v>2018</v>
      </c>
      <c r="F5694" t="s">
        <v>44</v>
      </c>
      <c r="G5694" t="s">
        <v>21</v>
      </c>
      <c r="H5694" t="s">
        <v>15</v>
      </c>
      <c r="I5694" t="s">
        <v>45</v>
      </c>
      <c r="J5694">
        <v>0.11995987299999999</v>
      </c>
      <c r="L5694">
        <v>45.506</v>
      </c>
      <c r="M5694">
        <v>2</v>
      </c>
    </row>
    <row r="5695" spans="1:13" x14ac:dyDescent="0.3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v>5703</v>
      </c>
      <c r="C5704" t="s">
        <v>311</v>
      </c>
      <c r="D5704" t="s">
        <v>28</v>
      </c>
      <c r="E5704">
        <v>2018</v>
      </c>
      <c r="F5704" t="s">
        <v>137</v>
      </c>
      <c r="G5704" t="s">
        <v>14</v>
      </c>
      <c r="H5704" t="s">
        <v>26</v>
      </c>
      <c r="I5704" t="s">
        <v>39</v>
      </c>
      <c r="J5704">
        <v>0.1263349</v>
      </c>
      <c r="L5704">
        <v>184.0924</v>
      </c>
      <c r="M5704">
        <v>1.7</v>
      </c>
    </row>
    <row r="5705" spans="1:13" x14ac:dyDescent="0.3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v>5801</v>
      </c>
      <c r="C5802" t="s">
        <v>1290</v>
      </c>
      <c r="D5802" t="s">
        <v>47</v>
      </c>
      <c r="E5802">
        <v>2017</v>
      </c>
      <c r="F5802" t="s">
        <v>49</v>
      </c>
      <c r="G5802" t="s">
        <v>34</v>
      </c>
      <c r="H5802" t="s">
        <v>26</v>
      </c>
      <c r="I5802" t="s">
        <v>16</v>
      </c>
      <c r="J5802">
        <v>0</v>
      </c>
      <c r="K5802">
        <v>15</v>
      </c>
      <c r="L5802">
        <v>47.2744</v>
      </c>
      <c r="M5802">
        <v>1</v>
      </c>
    </row>
    <row r="5803" spans="1:13" x14ac:dyDescent="0.3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v>5829</v>
      </c>
      <c r="C5830" t="s">
        <v>1501</v>
      </c>
      <c r="D5830" t="s">
        <v>94</v>
      </c>
      <c r="E5830">
        <v>2018</v>
      </c>
      <c r="F5830" t="s">
        <v>44</v>
      </c>
      <c r="G5830" t="s">
        <v>21</v>
      </c>
      <c r="H5830" t="s">
        <v>15</v>
      </c>
      <c r="I5830" t="s">
        <v>45</v>
      </c>
      <c r="J5830">
        <v>0</v>
      </c>
      <c r="L5830">
        <v>196.50839999999999</v>
      </c>
      <c r="M5830">
        <v>1</v>
      </c>
    </row>
    <row r="5831" spans="1:13" x14ac:dyDescent="0.35">
      <c r="A5831" t="s">
        <v>17</v>
      </c>
      <c r="B5831">
        <v>5830</v>
      </c>
      <c r="C5831" t="s">
        <v>819</v>
      </c>
      <c r="D5831" t="s">
        <v>12</v>
      </c>
      <c r="E5831">
        <v>2018</v>
      </c>
      <c r="F5831" t="s">
        <v>44</v>
      </c>
      <c r="G5831" t="s">
        <v>21</v>
      </c>
      <c r="H5831" t="s">
        <v>15</v>
      </c>
      <c r="I5831" t="s">
        <v>45</v>
      </c>
      <c r="J5831">
        <v>2.5841875E-2</v>
      </c>
      <c r="L5831">
        <v>120.7414</v>
      </c>
      <c r="M5831">
        <v>1</v>
      </c>
    </row>
    <row r="5832" spans="1:13" x14ac:dyDescent="0.35">
      <c r="A5832" t="s">
        <v>17</v>
      </c>
      <c r="B5832">
        <v>5831</v>
      </c>
      <c r="C5832" t="s">
        <v>234</v>
      </c>
      <c r="D5832" t="s">
        <v>60</v>
      </c>
      <c r="E5832">
        <v>2018</v>
      </c>
      <c r="F5832" t="s">
        <v>44</v>
      </c>
      <c r="G5832" t="s">
        <v>21</v>
      </c>
      <c r="H5832" t="s">
        <v>15</v>
      </c>
      <c r="I5832" t="s">
        <v>45</v>
      </c>
      <c r="J5832">
        <v>0</v>
      </c>
      <c r="L5832">
        <v>171.7422</v>
      </c>
      <c r="M5832">
        <v>1</v>
      </c>
    </row>
    <row r="5833" spans="1:13" x14ac:dyDescent="0.3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v>5834</v>
      </c>
      <c r="C5835" t="s">
        <v>305</v>
      </c>
      <c r="D5835" t="s">
        <v>47</v>
      </c>
      <c r="E5835">
        <v>2018</v>
      </c>
      <c r="F5835" t="s">
        <v>44</v>
      </c>
      <c r="G5835" t="s">
        <v>21</v>
      </c>
      <c r="H5835" t="s">
        <v>15</v>
      </c>
      <c r="I5835" t="s">
        <v>45</v>
      </c>
      <c r="J5835">
        <v>4.9066248E-2</v>
      </c>
      <c r="L5835">
        <v>192.4478</v>
      </c>
      <c r="M5835">
        <v>1</v>
      </c>
    </row>
    <row r="5836" spans="1:13" x14ac:dyDescent="0.3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v>5837</v>
      </c>
      <c r="C5838" t="s">
        <v>189</v>
      </c>
      <c r="D5838" t="s">
        <v>24</v>
      </c>
      <c r="E5838">
        <v>2018</v>
      </c>
      <c r="F5838" t="s">
        <v>44</v>
      </c>
      <c r="G5838" t="s">
        <v>21</v>
      </c>
      <c r="H5838" t="s">
        <v>15</v>
      </c>
      <c r="I5838" t="s">
        <v>45</v>
      </c>
      <c r="J5838">
        <v>4.1370245E-2</v>
      </c>
      <c r="L5838">
        <v>46.2376</v>
      </c>
      <c r="M5838">
        <v>1</v>
      </c>
    </row>
    <row r="5839" spans="1:13" x14ac:dyDescent="0.35">
      <c r="A5839" t="s">
        <v>10</v>
      </c>
      <c r="B5839">
        <v>5838</v>
      </c>
      <c r="C5839" t="s">
        <v>1157</v>
      </c>
      <c r="D5839" t="s">
        <v>12</v>
      </c>
      <c r="E5839">
        <v>2018</v>
      </c>
      <c r="F5839" t="s">
        <v>44</v>
      </c>
      <c r="G5839" t="s">
        <v>21</v>
      </c>
      <c r="H5839" t="s">
        <v>15</v>
      </c>
      <c r="I5839" t="s">
        <v>45</v>
      </c>
      <c r="J5839">
        <v>0</v>
      </c>
      <c r="L5839">
        <v>120.5072</v>
      </c>
      <c r="M5839">
        <v>1</v>
      </c>
    </row>
    <row r="5840" spans="1:13" x14ac:dyDescent="0.3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v>5873</v>
      </c>
      <c r="C5874" t="s">
        <v>1057</v>
      </c>
      <c r="D5874" t="s">
        <v>32</v>
      </c>
      <c r="E5874">
        <v>2018</v>
      </c>
      <c r="F5874" t="s">
        <v>44</v>
      </c>
      <c r="G5874" t="s">
        <v>21</v>
      </c>
      <c r="H5874" t="s">
        <v>15</v>
      </c>
      <c r="I5874" t="s">
        <v>45</v>
      </c>
      <c r="J5874">
        <v>4.1683481000000001E-2</v>
      </c>
      <c r="L5874">
        <v>31.29</v>
      </c>
      <c r="M5874">
        <v>4</v>
      </c>
    </row>
    <row r="5875" spans="1:13" x14ac:dyDescent="0.3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v>5956</v>
      </c>
      <c r="C5957" t="s">
        <v>1494</v>
      </c>
      <c r="D5957" t="s">
        <v>47</v>
      </c>
      <c r="E5957">
        <v>2018</v>
      </c>
      <c r="F5957" t="s">
        <v>44</v>
      </c>
      <c r="G5957" t="s">
        <v>21</v>
      </c>
      <c r="H5957" t="s">
        <v>15</v>
      </c>
      <c r="I5957" t="s">
        <v>45</v>
      </c>
      <c r="J5957">
        <v>0</v>
      </c>
      <c r="L5957">
        <v>52.666600000000003</v>
      </c>
      <c r="M5957">
        <v>4</v>
      </c>
    </row>
    <row r="5958" spans="1:13" x14ac:dyDescent="0.3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v>5971</v>
      </c>
      <c r="C5972" t="s">
        <v>1484</v>
      </c>
      <c r="D5972" t="s">
        <v>47</v>
      </c>
      <c r="E5972">
        <v>2018</v>
      </c>
      <c r="F5972" t="s">
        <v>137</v>
      </c>
      <c r="G5972" t="s">
        <v>14</v>
      </c>
      <c r="H5972" t="s">
        <v>26</v>
      </c>
      <c r="I5972" t="s">
        <v>39</v>
      </c>
      <c r="J5972">
        <v>0.141975462</v>
      </c>
      <c r="L5972">
        <v>49.6008</v>
      </c>
      <c r="M5972">
        <v>4</v>
      </c>
    </row>
    <row r="5973" spans="1:13" x14ac:dyDescent="0.3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v>5981</v>
      </c>
      <c r="C5982" t="s">
        <v>1592</v>
      </c>
      <c r="D5982" t="s">
        <v>12</v>
      </c>
      <c r="E5982">
        <v>2018</v>
      </c>
      <c r="F5982" t="s">
        <v>44</v>
      </c>
      <c r="G5982" t="s">
        <v>21</v>
      </c>
      <c r="H5982" t="s">
        <v>15</v>
      </c>
      <c r="I5982" t="s">
        <v>45</v>
      </c>
      <c r="J5982">
        <v>0</v>
      </c>
      <c r="L5982">
        <v>184.72659999999999</v>
      </c>
      <c r="M5982">
        <v>4</v>
      </c>
    </row>
    <row r="5983" spans="1:13" x14ac:dyDescent="0.3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1416</v>
      </c>
      <c r="D5986" t="s">
        <v>12</v>
      </c>
      <c r="E5986">
        <v>2018</v>
      </c>
      <c r="F5986" t="s">
        <v>44</v>
      </c>
      <c r="G5986" t="s">
        <v>21</v>
      </c>
      <c r="H5986" t="s">
        <v>15</v>
      </c>
      <c r="I5986" t="s">
        <v>45</v>
      </c>
      <c r="J5986">
        <v>0.100277876</v>
      </c>
      <c r="L5986">
        <v>196.8768</v>
      </c>
      <c r="M5986">
        <v>4</v>
      </c>
    </row>
    <row r="5987" spans="1:13" x14ac:dyDescent="0.35">
      <c r="A5987" t="s">
        <v>17</v>
      </c>
      <c r="B5987">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1269</v>
      </c>
      <c r="D6033" t="s">
        <v>24</v>
      </c>
      <c r="E6033">
        <v>2018</v>
      </c>
      <c r="F6033" t="s">
        <v>137</v>
      </c>
      <c r="G6033" t="s">
        <v>14</v>
      </c>
      <c r="H6033" t="s">
        <v>26</v>
      </c>
      <c r="I6033" t="s">
        <v>39</v>
      </c>
      <c r="J6033">
        <v>0</v>
      </c>
      <c r="L6033">
        <v>145.21019999999999</v>
      </c>
      <c r="M6033">
        <v>4</v>
      </c>
    </row>
    <row r="6034" spans="1:13" x14ac:dyDescent="0.3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1230</v>
      </c>
      <c r="D6127" t="s">
        <v>94</v>
      </c>
      <c r="E6127">
        <v>2018</v>
      </c>
      <c r="F6127" t="s">
        <v>137</v>
      </c>
      <c r="G6127" t="s">
        <v>14</v>
      </c>
      <c r="H6127" t="s">
        <v>26</v>
      </c>
      <c r="I6127" t="s">
        <v>39</v>
      </c>
      <c r="J6127">
        <v>0</v>
      </c>
      <c r="L6127">
        <v>144.84700000000001</v>
      </c>
      <c r="M6127">
        <v>4</v>
      </c>
    </row>
    <row r="6128" spans="1:13" x14ac:dyDescent="0.3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536</v>
      </c>
      <c r="D6134" t="s">
        <v>28</v>
      </c>
      <c r="E6134">
        <v>2018</v>
      </c>
      <c r="F6134" t="s">
        <v>137</v>
      </c>
      <c r="G6134" t="s">
        <v>14</v>
      </c>
      <c r="H6134" t="s">
        <v>26</v>
      </c>
      <c r="I6134" t="s">
        <v>39</v>
      </c>
      <c r="J6134">
        <v>0.14453827</v>
      </c>
      <c r="L6134">
        <v>180.6002</v>
      </c>
      <c r="M6134">
        <v>4</v>
      </c>
    </row>
    <row r="6135" spans="1:13" x14ac:dyDescent="0.3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163</v>
      </c>
      <c r="D6179" t="s">
        <v>28</v>
      </c>
      <c r="E6179">
        <v>2012</v>
      </c>
      <c r="F6179" t="s">
        <v>13</v>
      </c>
      <c r="G6179" t="s">
        <v>14</v>
      </c>
      <c r="H6179" t="s">
        <v>15</v>
      </c>
      <c r="I6179" t="s">
        <v>16</v>
      </c>
      <c r="J6179">
        <v>0</v>
      </c>
      <c r="K6179">
        <v>7</v>
      </c>
      <c r="L6179">
        <v>105.628</v>
      </c>
      <c r="M6179">
        <v>4</v>
      </c>
    </row>
    <row r="6180" spans="1:13" x14ac:dyDescent="0.3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v>6425</v>
      </c>
      <c r="C6426" t="s">
        <v>667</v>
      </c>
      <c r="D6426" t="s">
        <v>12</v>
      </c>
      <c r="E6426">
        <v>2018</v>
      </c>
      <c r="F6426" t="s">
        <v>137</v>
      </c>
      <c r="G6426" t="s">
        <v>14</v>
      </c>
      <c r="H6426" t="s">
        <v>26</v>
      </c>
      <c r="I6426" t="s">
        <v>39</v>
      </c>
      <c r="J6426">
        <v>0</v>
      </c>
      <c r="L6426">
        <v>258.39879999999999</v>
      </c>
      <c r="M6426">
        <v>4</v>
      </c>
    </row>
    <row r="6427" spans="1:13" x14ac:dyDescent="0.3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v>6429</v>
      </c>
      <c r="C6430" t="s">
        <v>1241</v>
      </c>
      <c r="D6430" t="s">
        <v>32</v>
      </c>
      <c r="E6430">
        <v>2018</v>
      </c>
      <c r="F6430" t="s">
        <v>137</v>
      </c>
      <c r="G6430" t="s">
        <v>14</v>
      </c>
      <c r="H6430" t="s">
        <v>26</v>
      </c>
      <c r="I6430" t="s">
        <v>39</v>
      </c>
      <c r="J6430">
        <v>0</v>
      </c>
      <c r="L6430">
        <v>40.513800000000003</v>
      </c>
      <c r="M6430">
        <v>4</v>
      </c>
    </row>
    <row r="6431" spans="1:13" x14ac:dyDescent="0.3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v>6459</v>
      </c>
      <c r="C6460" t="s">
        <v>1277</v>
      </c>
      <c r="D6460" t="s">
        <v>24</v>
      </c>
      <c r="E6460">
        <v>2018</v>
      </c>
      <c r="F6460" t="s">
        <v>137</v>
      </c>
      <c r="G6460" t="s">
        <v>14</v>
      </c>
      <c r="H6460" t="s">
        <v>26</v>
      </c>
      <c r="I6460" t="s">
        <v>39</v>
      </c>
      <c r="J6460">
        <v>2.4546148E-2</v>
      </c>
      <c r="L6460">
        <v>34.619</v>
      </c>
      <c r="M6460">
        <v>4</v>
      </c>
    </row>
    <row r="6461" spans="1:13" x14ac:dyDescent="0.3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v>6467</v>
      </c>
      <c r="C6468" t="s">
        <v>58</v>
      </c>
      <c r="D6468" t="s">
        <v>12</v>
      </c>
      <c r="E6468">
        <v>2018</v>
      </c>
      <c r="F6468" t="s">
        <v>137</v>
      </c>
      <c r="G6468" t="s">
        <v>14</v>
      </c>
      <c r="H6468" t="s">
        <v>26</v>
      </c>
      <c r="I6468" t="s">
        <v>39</v>
      </c>
      <c r="J6468">
        <v>0.32111500999999998</v>
      </c>
      <c r="L6468">
        <v>100.77</v>
      </c>
      <c r="M6468">
        <v>4</v>
      </c>
    </row>
    <row r="6469" spans="1:13" x14ac:dyDescent="0.3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v>6476</v>
      </c>
      <c r="C6477" t="s">
        <v>848</v>
      </c>
      <c r="D6477" t="s">
        <v>41</v>
      </c>
      <c r="E6477">
        <v>2018</v>
      </c>
      <c r="F6477" t="s">
        <v>137</v>
      </c>
      <c r="G6477" t="s">
        <v>14</v>
      </c>
      <c r="H6477" t="s">
        <v>26</v>
      </c>
      <c r="I6477" t="s">
        <v>39</v>
      </c>
      <c r="J6477">
        <v>2.8048877E-2</v>
      </c>
      <c r="L6477">
        <v>106.1964</v>
      </c>
      <c r="M6477">
        <v>4</v>
      </c>
    </row>
    <row r="6478" spans="1:13" x14ac:dyDescent="0.3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v>6483</v>
      </c>
      <c r="C6484" t="s">
        <v>217</v>
      </c>
      <c r="D6484" t="s">
        <v>41</v>
      </c>
      <c r="E6484">
        <v>2018</v>
      </c>
      <c r="F6484" t="s">
        <v>137</v>
      </c>
      <c r="G6484" t="s">
        <v>14</v>
      </c>
      <c r="H6484" t="s">
        <v>26</v>
      </c>
      <c r="I6484" t="s">
        <v>39</v>
      </c>
      <c r="J6484">
        <v>2.5039776E-2</v>
      </c>
      <c r="L6484">
        <v>102.7332</v>
      </c>
      <c r="M6484">
        <v>4</v>
      </c>
    </row>
    <row r="6485" spans="1:13" x14ac:dyDescent="0.3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v>6485</v>
      </c>
      <c r="C6486" t="s">
        <v>1226</v>
      </c>
      <c r="D6486" t="s">
        <v>41</v>
      </c>
      <c r="E6486">
        <v>2018</v>
      </c>
      <c r="F6486" t="s">
        <v>137</v>
      </c>
      <c r="G6486" t="s">
        <v>14</v>
      </c>
      <c r="H6486" t="s">
        <v>26</v>
      </c>
      <c r="I6486" t="s">
        <v>39</v>
      </c>
      <c r="J6486">
        <v>0.124299531</v>
      </c>
      <c r="L6486">
        <v>73.4696</v>
      </c>
      <c r="M6486">
        <v>4</v>
      </c>
    </row>
    <row r="6487" spans="1:13" x14ac:dyDescent="0.3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v>6492</v>
      </c>
      <c r="C6493" t="s">
        <v>52</v>
      </c>
      <c r="D6493" t="s">
        <v>53</v>
      </c>
      <c r="E6493">
        <v>2018</v>
      </c>
      <c r="F6493" t="s">
        <v>137</v>
      </c>
      <c r="G6493" t="s">
        <v>14</v>
      </c>
      <c r="H6493" t="s">
        <v>26</v>
      </c>
      <c r="I6493" t="s">
        <v>39</v>
      </c>
      <c r="J6493">
        <v>5.7933643E-2</v>
      </c>
      <c r="L6493">
        <v>175.1738</v>
      </c>
      <c r="M6493">
        <v>4</v>
      </c>
    </row>
    <row r="6494" spans="1:13" x14ac:dyDescent="0.35">
      <c r="A6494" t="s">
        <v>17</v>
      </c>
      <c r="B6494">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v>6494</v>
      </c>
      <c r="C6495" t="s">
        <v>1368</v>
      </c>
      <c r="D6495" t="s">
        <v>53</v>
      </c>
      <c r="E6495">
        <v>2018</v>
      </c>
      <c r="F6495" t="s">
        <v>137</v>
      </c>
      <c r="G6495" t="s">
        <v>14</v>
      </c>
      <c r="H6495" t="s">
        <v>26</v>
      </c>
      <c r="I6495" t="s">
        <v>39</v>
      </c>
      <c r="J6495">
        <v>0</v>
      </c>
      <c r="L6495">
        <v>196.8426</v>
      </c>
      <c r="M6495">
        <v>4</v>
      </c>
    </row>
    <row r="6496" spans="1:13" x14ac:dyDescent="0.3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v>6496</v>
      </c>
      <c r="C6497" t="s">
        <v>244</v>
      </c>
      <c r="D6497" t="s">
        <v>63</v>
      </c>
      <c r="E6497">
        <v>2018</v>
      </c>
      <c r="F6497" t="s">
        <v>137</v>
      </c>
      <c r="G6497" t="s">
        <v>14</v>
      </c>
      <c r="H6497" t="s">
        <v>26</v>
      </c>
      <c r="I6497" t="s">
        <v>39</v>
      </c>
      <c r="J6497">
        <v>0.194874778</v>
      </c>
      <c r="L6497">
        <v>110.2912</v>
      </c>
      <c r="M6497">
        <v>4</v>
      </c>
    </row>
    <row r="6498" spans="1:13" x14ac:dyDescent="0.3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v>6501</v>
      </c>
      <c r="C6502" t="s">
        <v>1353</v>
      </c>
      <c r="D6502" t="s">
        <v>47</v>
      </c>
      <c r="E6502">
        <v>2018</v>
      </c>
      <c r="F6502" t="s">
        <v>137</v>
      </c>
      <c r="G6502" t="s">
        <v>14</v>
      </c>
      <c r="H6502" t="s">
        <v>26</v>
      </c>
      <c r="I6502" t="s">
        <v>39</v>
      </c>
      <c r="J6502">
        <v>9.4957079E-2</v>
      </c>
      <c r="L6502">
        <v>143.5154</v>
      </c>
      <c r="M6502">
        <v>4</v>
      </c>
    </row>
    <row r="6503" spans="1:13" x14ac:dyDescent="0.3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v>6506</v>
      </c>
      <c r="C6507" t="s">
        <v>388</v>
      </c>
      <c r="D6507" t="s">
        <v>47</v>
      </c>
      <c r="E6507">
        <v>2018</v>
      </c>
      <c r="F6507" t="s">
        <v>137</v>
      </c>
      <c r="G6507" t="s">
        <v>14</v>
      </c>
      <c r="H6507" t="s">
        <v>26</v>
      </c>
      <c r="I6507" t="s">
        <v>39</v>
      </c>
      <c r="J6507">
        <v>0.117091213</v>
      </c>
      <c r="L6507">
        <v>197.9084</v>
      </c>
      <c r="M6507">
        <v>4</v>
      </c>
    </row>
    <row r="6508" spans="1:13" x14ac:dyDescent="0.3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v>6514</v>
      </c>
      <c r="C6515" t="s">
        <v>430</v>
      </c>
      <c r="D6515" t="s">
        <v>94</v>
      </c>
      <c r="E6515">
        <v>2018</v>
      </c>
      <c r="F6515" t="s">
        <v>137</v>
      </c>
      <c r="G6515" t="s">
        <v>14</v>
      </c>
      <c r="H6515" t="s">
        <v>26</v>
      </c>
      <c r="I6515" t="s">
        <v>39</v>
      </c>
      <c r="J6515">
        <v>0</v>
      </c>
      <c r="L6515">
        <v>38.184800000000003</v>
      </c>
      <c r="M6515">
        <v>4</v>
      </c>
    </row>
    <row r="6516" spans="1:13" x14ac:dyDescent="0.35">
      <c r="A6516" t="s">
        <v>10</v>
      </c>
      <c r="B6516">
        <v>6515</v>
      </c>
      <c r="C6516" t="s">
        <v>1602</v>
      </c>
      <c r="D6516" t="s">
        <v>94</v>
      </c>
      <c r="E6516">
        <v>2018</v>
      </c>
      <c r="F6516" t="s">
        <v>137</v>
      </c>
      <c r="G6516" t="s">
        <v>14</v>
      </c>
      <c r="H6516" t="s">
        <v>26</v>
      </c>
      <c r="I6516" t="s">
        <v>39</v>
      </c>
      <c r="J6516">
        <v>0.191500528</v>
      </c>
      <c r="L6516">
        <v>121.2098</v>
      </c>
      <c r="M6516">
        <v>4</v>
      </c>
    </row>
    <row r="6517" spans="1:13" x14ac:dyDescent="0.3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v>6517</v>
      </c>
      <c r="C6518" t="s">
        <v>903</v>
      </c>
      <c r="D6518" t="s">
        <v>94</v>
      </c>
      <c r="E6518">
        <v>2018</v>
      </c>
      <c r="F6518" t="s">
        <v>137</v>
      </c>
      <c r="G6518" t="s">
        <v>14</v>
      </c>
      <c r="H6518" t="s">
        <v>26</v>
      </c>
      <c r="I6518" t="s">
        <v>39</v>
      </c>
      <c r="J6518">
        <v>0.18212836299999999</v>
      </c>
      <c r="L6518">
        <v>165.65</v>
      </c>
      <c r="M6518">
        <v>4</v>
      </c>
    </row>
    <row r="6519" spans="1:13" x14ac:dyDescent="0.3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v>6523</v>
      </c>
      <c r="C6524" t="s">
        <v>422</v>
      </c>
      <c r="D6524" t="s">
        <v>28</v>
      </c>
      <c r="E6524">
        <v>2018</v>
      </c>
      <c r="F6524" t="s">
        <v>137</v>
      </c>
      <c r="G6524" t="s">
        <v>14</v>
      </c>
      <c r="H6524" t="s">
        <v>26</v>
      </c>
      <c r="I6524" t="s">
        <v>39</v>
      </c>
      <c r="J6524">
        <v>0</v>
      </c>
      <c r="L6524">
        <v>92.311999999999998</v>
      </c>
      <c r="M6524">
        <v>4</v>
      </c>
    </row>
    <row r="6525" spans="1:13" x14ac:dyDescent="0.3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v>6525</v>
      </c>
      <c r="C6526" t="s">
        <v>676</v>
      </c>
      <c r="D6526" t="s">
        <v>28</v>
      </c>
      <c r="E6526">
        <v>2018</v>
      </c>
      <c r="F6526" t="s">
        <v>137</v>
      </c>
      <c r="G6526" t="s">
        <v>14</v>
      </c>
      <c r="H6526" t="s">
        <v>26</v>
      </c>
      <c r="I6526" t="s">
        <v>39</v>
      </c>
      <c r="J6526">
        <v>0</v>
      </c>
      <c r="L6526">
        <v>78.896000000000001</v>
      </c>
      <c r="M6526">
        <v>4</v>
      </c>
    </row>
    <row r="6527" spans="1:13" x14ac:dyDescent="0.3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v>6534</v>
      </c>
      <c r="C6535" t="s">
        <v>1492</v>
      </c>
      <c r="D6535" t="s">
        <v>24</v>
      </c>
      <c r="E6535">
        <v>2018</v>
      </c>
      <c r="F6535" t="s">
        <v>137</v>
      </c>
      <c r="G6535" t="s">
        <v>14</v>
      </c>
      <c r="H6535" t="s">
        <v>26</v>
      </c>
      <c r="I6535" t="s">
        <v>39</v>
      </c>
      <c r="J6535">
        <v>0</v>
      </c>
      <c r="L6535">
        <v>230.0668</v>
      </c>
      <c r="M6535">
        <v>4</v>
      </c>
    </row>
    <row r="6536" spans="1:13" x14ac:dyDescent="0.3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v>6541</v>
      </c>
      <c r="C6542" t="s">
        <v>1519</v>
      </c>
      <c r="D6542" t="s">
        <v>12</v>
      </c>
      <c r="E6542">
        <v>2018</v>
      </c>
      <c r="F6542" t="s">
        <v>137</v>
      </c>
      <c r="G6542" t="s">
        <v>14</v>
      </c>
      <c r="H6542" t="s">
        <v>26</v>
      </c>
      <c r="I6542" t="s">
        <v>39</v>
      </c>
      <c r="J6542">
        <v>0.214423791</v>
      </c>
      <c r="L6542">
        <v>111.6544</v>
      </c>
      <c r="M6542">
        <v>4</v>
      </c>
    </row>
    <row r="6543" spans="1:13" x14ac:dyDescent="0.3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v>6548</v>
      </c>
      <c r="C6549" t="s">
        <v>399</v>
      </c>
      <c r="D6549" t="s">
        <v>12</v>
      </c>
      <c r="E6549">
        <v>2018</v>
      </c>
      <c r="F6549" t="s">
        <v>137</v>
      </c>
      <c r="G6549" t="s">
        <v>14</v>
      </c>
      <c r="H6549" t="s">
        <v>26</v>
      </c>
      <c r="I6549" t="s">
        <v>39</v>
      </c>
      <c r="J6549">
        <v>0</v>
      </c>
      <c r="L6549">
        <v>234.79580000000001</v>
      </c>
      <c r="M6549">
        <v>4</v>
      </c>
    </row>
    <row r="6550" spans="1:13" x14ac:dyDescent="0.3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v>6551</v>
      </c>
      <c r="C6552" t="s">
        <v>1012</v>
      </c>
      <c r="D6552" t="s">
        <v>53</v>
      </c>
      <c r="E6552">
        <v>2018</v>
      </c>
      <c r="F6552" t="s">
        <v>137</v>
      </c>
      <c r="G6552" t="s">
        <v>14</v>
      </c>
      <c r="H6552" t="s">
        <v>26</v>
      </c>
      <c r="I6552" t="s">
        <v>39</v>
      </c>
      <c r="J6552">
        <v>0.277459381</v>
      </c>
      <c r="L6552">
        <v>156.3946</v>
      </c>
      <c r="M6552">
        <v>4</v>
      </c>
    </row>
    <row r="6553" spans="1:13" x14ac:dyDescent="0.3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v>6556</v>
      </c>
      <c r="C6557" t="s">
        <v>1334</v>
      </c>
      <c r="D6557" t="s">
        <v>53</v>
      </c>
      <c r="E6557">
        <v>2018</v>
      </c>
      <c r="F6557" t="s">
        <v>137</v>
      </c>
      <c r="G6557" t="s">
        <v>14</v>
      </c>
      <c r="H6557" t="s">
        <v>26</v>
      </c>
      <c r="I6557" t="s">
        <v>39</v>
      </c>
      <c r="J6557">
        <v>1.9117392E-2</v>
      </c>
      <c r="L6557">
        <v>110.6544</v>
      </c>
      <c r="M6557">
        <v>4</v>
      </c>
    </row>
    <row r="6558" spans="1:13" x14ac:dyDescent="0.3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v>6558</v>
      </c>
      <c r="C6559" t="s">
        <v>192</v>
      </c>
      <c r="D6559" t="s">
        <v>152</v>
      </c>
      <c r="E6559">
        <v>2018</v>
      </c>
      <c r="F6559" t="s">
        <v>137</v>
      </c>
      <c r="G6559" t="s">
        <v>14</v>
      </c>
      <c r="H6559" t="s">
        <v>26</v>
      </c>
      <c r="I6559" t="s">
        <v>39</v>
      </c>
      <c r="J6559">
        <v>0.256152243</v>
      </c>
      <c r="L6559">
        <v>151.005</v>
      </c>
      <c r="M6559">
        <v>4</v>
      </c>
    </row>
    <row r="6560" spans="1:13" x14ac:dyDescent="0.3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v>6560</v>
      </c>
      <c r="C6561" t="s">
        <v>191</v>
      </c>
      <c r="D6561" t="s">
        <v>152</v>
      </c>
      <c r="E6561">
        <v>2018</v>
      </c>
      <c r="F6561" t="s">
        <v>137</v>
      </c>
      <c r="G6561" t="s">
        <v>14</v>
      </c>
      <c r="H6561" t="s">
        <v>26</v>
      </c>
      <c r="I6561" t="s">
        <v>39</v>
      </c>
      <c r="J6561">
        <v>0</v>
      </c>
      <c r="L6561">
        <v>184.35820000000001</v>
      </c>
      <c r="M6561">
        <v>4</v>
      </c>
    </row>
    <row r="6562" spans="1:13" x14ac:dyDescent="0.3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v>6568</v>
      </c>
      <c r="C6569" t="s">
        <v>959</v>
      </c>
      <c r="D6569" t="s">
        <v>32</v>
      </c>
      <c r="E6569">
        <v>2018</v>
      </c>
      <c r="F6569" t="s">
        <v>137</v>
      </c>
      <c r="G6569" t="s">
        <v>14</v>
      </c>
      <c r="H6569" t="s">
        <v>26</v>
      </c>
      <c r="I6569" t="s">
        <v>39</v>
      </c>
      <c r="J6569">
        <v>0.13511877</v>
      </c>
      <c r="L6569">
        <v>232.9958</v>
      </c>
      <c r="M6569">
        <v>4</v>
      </c>
    </row>
    <row r="6570" spans="1:13" x14ac:dyDescent="0.3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703</v>
      </c>
      <c r="D6596" t="s">
        <v>56</v>
      </c>
      <c r="E6596">
        <v>2016</v>
      </c>
      <c r="F6596" t="s">
        <v>25</v>
      </c>
      <c r="G6596" t="s">
        <v>14</v>
      </c>
      <c r="H6596" t="s">
        <v>26</v>
      </c>
      <c r="I6596" t="s">
        <v>16</v>
      </c>
      <c r="J6596">
        <v>0</v>
      </c>
      <c r="K6596">
        <v>6.44</v>
      </c>
      <c r="L6596">
        <v>98.27</v>
      </c>
      <c r="M6596">
        <v>4</v>
      </c>
    </row>
    <row r="6597" spans="1:13" x14ac:dyDescent="0.3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867</v>
      </c>
      <c r="D7213" t="s">
        <v>12</v>
      </c>
      <c r="E7213">
        <v>2015</v>
      </c>
      <c r="F7213" t="s">
        <v>33</v>
      </c>
      <c r="G7213" t="s">
        <v>34</v>
      </c>
      <c r="H7213" t="s">
        <v>30</v>
      </c>
      <c r="I7213" t="s">
        <v>16</v>
      </c>
      <c r="J7213">
        <v>0</v>
      </c>
      <c r="K7213">
        <v>10.3</v>
      </c>
      <c r="L7213">
        <v>189.053</v>
      </c>
      <c r="M7213">
        <v>4</v>
      </c>
    </row>
    <row r="7214" spans="1:13" x14ac:dyDescent="0.3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v>7263</v>
      </c>
      <c r="C7264" t="s">
        <v>120</v>
      </c>
      <c r="D7264" t="s">
        <v>94</v>
      </c>
      <c r="E7264">
        <v>2020</v>
      </c>
      <c r="F7264" t="s">
        <v>36</v>
      </c>
      <c r="G7264" t="s">
        <v>34</v>
      </c>
      <c r="H7264" t="s">
        <v>30</v>
      </c>
      <c r="I7264" t="s">
        <v>16</v>
      </c>
      <c r="J7264">
        <v>0</v>
      </c>
      <c r="K7264">
        <v>20.7</v>
      </c>
      <c r="L7264">
        <v>98.7042</v>
      </c>
      <c r="M7264">
        <v>4</v>
      </c>
    </row>
    <row r="7265" spans="1:13" x14ac:dyDescent="0.3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874</v>
      </c>
      <c r="D7767" t="s">
        <v>28</v>
      </c>
      <c r="E7767">
        <v>2014</v>
      </c>
      <c r="F7767" t="s">
        <v>29</v>
      </c>
      <c r="G7767" t="s">
        <v>21</v>
      </c>
      <c r="H7767" t="s">
        <v>30</v>
      </c>
      <c r="I7767" t="s">
        <v>16</v>
      </c>
      <c r="J7767">
        <v>0</v>
      </c>
      <c r="K7767">
        <v>16.2</v>
      </c>
      <c r="L7767">
        <v>100.57</v>
      </c>
      <c r="M7767">
        <v>4</v>
      </c>
    </row>
    <row r="7768" spans="1:13" x14ac:dyDescent="0.3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91</v>
      </c>
      <c r="D7793" t="s">
        <v>24</v>
      </c>
      <c r="E7793">
        <v>2014</v>
      </c>
      <c r="F7793" t="s">
        <v>29</v>
      </c>
      <c r="G7793" t="s">
        <v>21</v>
      </c>
      <c r="H7793" t="s">
        <v>30</v>
      </c>
      <c r="I7793" t="s">
        <v>16</v>
      </c>
      <c r="J7793">
        <v>0</v>
      </c>
      <c r="K7793">
        <v>17.5</v>
      </c>
      <c r="L7793">
        <v>258.3304</v>
      </c>
      <c r="M7793">
        <v>4</v>
      </c>
    </row>
    <row r="7794" spans="1:13" x14ac:dyDescent="0.3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531</v>
      </c>
      <c r="D8059" t="s">
        <v>19</v>
      </c>
      <c r="E8059">
        <v>2022</v>
      </c>
      <c r="F8059" t="s">
        <v>20</v>
      </c>
      <c r="G8059" t="s">
        <v>21</v>
      </c>
      <c r="H8059" t="s">
        <v>15</v>
      </c>
      <c r="I8059" t="s">
        <v>22</v>
      </c>
      <c r="J8059">
        <v>0</v>
      </c>
      <c r="K8059">
        <v>5.51</v>
      </c>
      <c r="L8059">
        <v>98.9726</v>
      </c>
      <c r="M8059">
        <v>4</v>
      </c>
    </row>
    <row r="8060" spans="1:13" x14ac:dyDescent="0.3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v>8248</v>
      </c>
      <c r="C8249" t="s">
        <v>661</v>
      </c>
      <c r="D8249" t="s">
        <v>56</v>
      </c>
      <c r="E8249">
        <v>2018</v>
      </c>
      <c r="F8249" t="s">
        <v>44</v>
      </c>
      <c r="G8249" t="s">
        <v>21</v>
      </c>
      <c r="H8249" t="s">
        <v>15</v>
      </c>
      <c r="I8249" t="s">
        <v>45</v>
      </c>
      <c r="J8249">
        <v>0</v>
      </c>
      <c r="L8249">
        <v>87.685599999999994</v>
      </c>
      <c r="M8249">
        <v>4</v>
      </c>
    </row>
    <row r="8250" spans="1:13" x14ac:dyDescent="0.35">
      <c r="A8250" t="s">
        <v>17</v>
      </c>
      <c r="B8250">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v>8250</v>
      </c>
      <c r="C8251" t="s">
        <v>717</v>
      </c>
      <c r="D8251" t="s">
        <v>19</v>
      </c>
      <c r="E8251">
        <v>2018</v>
      </c>
      <c r="F8251" t="s">
        <v>44</v>
      </c>
      <c r="G8251" t="s">
        <v>21</v>
      </c>
      <c r="H8251" t="s">
        <v>15</v>
      </c>
      <c r="I8251" t="s">
        <v>45</v>
      </c>
      <c r="J8251">
        <v>0</v>
      </c>
      <c r="L8251">
        <v>64.216800000000006</v>
      </c>
      <c r="M8251">
        <v>4</v>
      </c>
    </row>
    <row r="8252" spans="1:13" x14ac:dyDescent="0.3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v>8252</v>
      </c>
      <c r="C8253" t="s">
        <v>1133</v>
      </c>
      <c r="D8253" t="s">
        <v>41</v>
      </c>
      <c r="E8253">
        <v>2018</v>
      </c>
      <c r="F8253" t="s">
        <v>44</v>
      </c>
      <c r="G8253" t="s">
        <v>21</v>
      </c>
      <c r="H8253" t="s">
        <v>15</v>
      </c>
      <c r="I8253" t="s">
        <v>45</v>
      </c>
      <c r="J8253">
        <v>0.102941345</v>
      </c>
      <c r="L8253">
        <v>171.2448</v>
      </c>
      <c r="M8253">
        <v>4</v>
      </c>
    </row>
    <row r="8254" spans="1:13" x14ac:dyDescent="0.35">
      <c r="A8254" t="s">
        <v>17</v>
      </c>
      <c r="B8254">
        <v>8253</v>
      </c>
      <c r="C8254" t="s">
        <v>74</v>
      </c>
      <c r="D8254" t="s">
        <v>41</v>
      </c>
      <c r="E8254">
        <v>2018</v>
      </c>
      <c r="F8254" t="s">
        <v>44</v>
      </c>
      <c r="G8254" t="s">
        <v>21</v>
      </c>
      <c r="H8254" t="s">
        <v>15</v>
      </c>
      <c r="I8254" t="s">
        <v>45</v>
      </c>
      <c r="J8254">
        <v>8.0249973000000002E-2</v>
      </c>
      <c r="L8254">
        <v>168.679</v>
      </c>
      <c r="M8254">
        <v>4</v>
      </c>
    </row>
    <row r="8255" spans="1:13" x14ac:dyDescent="0.3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v>8267</v>
      </c>
      <c r="C8268" t="s">
        <v>985</v>
      </c>
      <c r="D8268" t="s">
        <v>94</v>
      </c>
      <c r="E8268">
        <v>2018</v>
      </c>
      <c r="F8268" t="s">
        <v>44</v>
      </c>
      <c r="G8268" t="s">
        <v>21</v>
      </c>
      <c r="H8268" t="s">
        <v>15</v>
      </c>
      <c r="I8268" t="s">
        <v>45</v>
      </c>
      <c r="J8268">
        <v>0</v>
      </c>
      <c r="L8268">
        <v>100.1384</v>
      </c>
      <c r="M8268">
        <v>4</v>
      </c>
    </row>
    <row r="8269" spans="1:13" x14ac:dyDescent="0.35">
      <c r="A8269" t="s">
        <v>17</v>
      </c>
      <c r="B8269">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v>8282</v>
      </c>
      <c r="C8283" t="s">
        <v>96</v>
      </c>
      <c r="D8283" t="s">
        <v>28</v>
      </c>
      <c r="E8283">
        <v>2018</v>
      </c>
      <c r="F8283" t="s">
        <v>44</v>
      </c>
      <c r="G8283" t="s">
        <v>21</v>
      </c>
      <c r="H8283" t="s">
        <v>15</v>
      </c>
      <c r="I8283" t="s">
        <v>45</v>
      </c>
      <c r="J8283">
        <v>2.4047319000000001E-2</v>
      </c>
      <c r="L8283">
        <v>115.515</v>
      </c>
      <c r="M8283">
        <v>4</v>
      </c>
    </row>
    <row r="8284" spans="1:13" x14ac:dyDescent="0.35">
      <c r="A8284" t="s">
        <v>17</v>
      </c>
      <c r="B8284">
        <v>8283</v>
      </c>
      <c r="C8284" t="s">
        <v>874</v>
      </c>
      <c r="D8284" t="s">
        <v>28</v>
      </c>
      <c r="E8284">
        <v>2018</v>
      </c>
      <c r="F8284" t="s">
        <v>44</v>
      </c>
      <c r="G8284" t="s">
        <v>21</v>
      </c>
      <c r="H8284" t="s">
        <v>15</v>
      </c>
      <c r="I8284" t="s">
        <v>45</v>
      </c>
      <c r="J8284">
        <v>6.2724116999999996E-2</v>
      </c>
      <c r="L8284">
        <v>100.57</v>
      </c>
      <c r="M8284">
        <v>4</v>
      </c>
    </row>
    <row r="8285" spans="1:13" x14ac:dyDescent="0.3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v>8288</v>
      </c>
      <c r="C8289" t="s">
        <v>1516</v>
      </c>
      <c r="D8289" t="s">
        <v>66</v>
      </c>
      <c r="E8289">
        <v>2018</v>
      </c>
      <c r="F8289" t="s">
        <v>44</v>
      </c>
      <c r="G8289" t="s">
        <v>21</v>
      </c>
      <c r="H8289" t="s">
        <v>15</v>
      </c>
      <c r="I8289" t="s">
        <v>45</v>
      </c>
      <c r="J8289">
        <v>5.3211728E-2</v>
      </c>
      <c r="L8289">
        <v>177.6002</v>
      </c>
      <c r="M8289">
        <v>4</v>
      </c>
    </row>
    <row r="8290" spans="1:13" x14ac:dyDescent="0.35">
      <c r="A8290" t="s">
        <v>17</v>
      </c>
      <c r="B8290">
        <v>8289</v>
      </c>
      <c r="C8290" t="s">
        <v>534</v>
      </c>
      <c r="D8290" t="s">
        <v>66</v>
      </c>
      <c r="E8290">
        <v>2018</v>
      </c>
      <c r="F8290" t="s">
        <v>44</v>
      </c>
      <c r="G8290" t="s">
        <v>21</v>
      </c>
      <c r="H8290" t="s">
        <v>15</v>
      </c>
      <c r="I8290" t="s">
        <v>45</v>
      </c>
      <c r="J8290">
        <v>0.101281</v>
      </c>
      <c r="L8290">
        <v>55.095599999999997</v>
      </c>
      <c r="M8290">
        <v>4</v>
      </c>
    </row>
    <row r="8291" spans="1:13" x14ac:dyDescent="0.3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v>8293</v>
      </c>
      <c r="C8294" t="s">
        <v>776</v>
      </c>
      <c r="D8294" t="s">
        <v>66</v>
      </c>
      <c r="E8294">
        <v>2018</v>
      </c>
      <c r="F8294" t="s">
        <v>44</v>
      </c>
      <c r="G8294" t="s">
        <v>21</v>
      </c>
      <c r="H8294" t="s">
        <v>15</v>
      </c>
      <c r="I8294" t="s">
        <v>45</v>
      </c>
      <c r="J8294">
        <v>2.0769677E-2</v>
      </c>
      <c r="L8294">
        <v>117.5782</v>
      </c>
      <c r="M8294">
        <v>4</v>
      </c>
    </row>
    <row r="8295" spans="1:13" x14ac:dyDescent="0.35">
      <c r="A8295" t="s">
        <v>17</v>
      </c>
      <c r="B8295">
        <v>8294</v>
      </c>
      <c r="C8295" t="s">
        <v>1017</v>
      </c>
      <c r="D8295" t="s">
        <v>24</v>
      </c>
      <c r="E8295">
        <v>2018</v>
      </c>
      <c r="F8295" t="s">
        <v>44</v>
      </c>
      <c r="G8295" t="s">
        <v>21</v>
      </c>
      <c r="H8295" t="s">
        <v>15</v>
      </c>
      <c r="I8295" t="s">
        <v>45</v>
      </c>
      <c r="J8295">
        <v>5.4720642E-2</v>
      </c>
      <c r="L8295">
        <v>107.8254</v>
      </c>
      <c r="M8295">
        <v>4</v>
      </c>
    </row>
    <row r="8296" spans="1:13" x14ac:dyDescent="0.3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v>8302</v>
      </c>
      <c r="C8303" t="s">
        <v>228</v>
      </c>
      <c r="D8303" t="s">
        <v>24</v>
      </c>
      <c r="E8303">
        <v>2018</v>
      </c>
      <c r="F8303" t="s">
        <v>44</v>
      </c>
      <c r="G8303" t="s">
        <v>21</v>
      </c>
      <c r="H8303" t="s">
        <v>15</v>
      </c>
      <c r="I8303" t="s">
        <v>45</v>
      </c>
      <c r="J8303">
        <v>0</v>
      </c>
      <c r="L8303">
        <v>190.9162</v>
      </c>
      <c r="M8303">
        <v>4</v>
      </c>
    </row>
    <row r="8304" spans="1:13" x14ac:dyDescent="0.35">
      <c r="A8304" t="s">
        <v>17</v>
      </c>
      <c r="B8304">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v>8310</v>
      </c>
      <c r="C8311" t="s">
        <v>737</v>
      </c>
      <c r="D8311" t="s">
        <v>24</v>
      </c>
      <c r="E8311">
        <v>2018</v>
      </c>
      <c r="F8311" t="s">
        <v>44</v>
      </c>
      <c r="G8311" t="s">
        <v>21</v>
      </c>
      <c r="H8311" t="s">
        <v>15</v>
      </c>
      <c r="I8311" t="s">
        <v>45</v>
      </c>
      <c r="J8311">
        <v>0.118806857</v>
      </c>
      <c r="L8311">
        <v>248.8434</v>
      </c>
      <c r="M8311">
        <v>4</v>
      </c>
    </row>
    <row r="8312" spans="1:13" x14ac:dyDescent="0.3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v>8315</v>
      </c>
      <c r="C8316" t="s">
        <v>1167</v>
      </c>
      <c r="D8316" t="s">
        <v>12</v>
      </c>
      <c r="E8316">
        <v>2018</v>
      </c>
      <c r="F8316" t="s">
        <v>44</v>
      </c>
      <c r="G8316" t="s">
        <v>21</v>
      </c>
      <c r="H8316" t="s">
        <v>15</v>
      </c>
      <c r="I8316" t="s">
        <v>45</v>
      </c>
      <c r="J8316">
        <v>0</v>
      </c>
      <c r="L8316">
        <v>242.9854</v>
      </c>
      <c r="M8316">
        <v>4</v>
      </c>
    </row>
    <row r="8317" spans="1:13" x14ac:dyDescent="0.3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v>8317</v>
      </c>
      <c r="C8318" t="s">
        <v>1168</v>
      </c>
      <c r="D8318" t="s">
        <v>12</v>
      </c>
      <c r="E8318">
        <v>2018</v>
      </c>
      <c r="F8318" t="s">
        <v>44</v>
      </c>
      <c r="G8318" t="s">
        <v>21</v>
      </c>
      <c r="H8318" t="s">
        <v>15</v>
      </c>
      <c r="I8318" t="s">
        <v>45</v>
      </c>
      <c r="J8318">
        <v>2.1392306E-2</v>
      </c>
      <c r="L8318">
        <v>182.0976</v>
      </c>
      <c r="M8318">
        <v>4</v>
      </c>
    </row>
    <row r="8319" spans="1:13" x14ac:dyDescent="0.35">
      <c r="A8319" t="s">
        <v>17</v>
      </c>
      <c r="B8319">
        <v>8318</v>
      </c>
      <c r="C8319" t="s">
        <v>1446</v>
      </c>
      <c r="D8319" t="s">
        <v>12</v>
      </c>
      <c r="E8319">
        <v>2018</v>
      </c>
      <c r="F8319" t="s">
        <v>44</v>
      </c>
      <c r="G8319" t="s">
        <v>21</v>
      </c>
      <c r="H8319" t="s">
        <v>15</v>
      </c>
      <c r="I8319" t="s">
        <v>45</v>
      </c>
      <c r="J8319">
        <v>0</v>
      </c>
      <c r="L8319">
        <v>115.3492</v>
      </c>
      <c r="M8319">
        <v>4</v>
      </c>
    </row>
    <row r="8320" spans="1:13" x14ac:dyDescent="0.35">
      <c r="A8320" t="s">
        <v>17</v>
      </c>
      <c r="B8320">
        <v>8319</v>
      </c>
      <c r="C8320" t="s">
        <v>446</v>
      </c>
      <c r="D8320" t="s">
        <v>12</v>
      </c>
      <c r="E8320">
        <v>2018</v>
      </c>
      <c r="F8320" t="s">
        <v>44</v>
      </c>
      <c r="G8320" t="s">
        <v>21</v>
      </c>
      <c r="H8320" t="s">
        <v>15</v>
      </c>
      <c r="I8320" t="s">
        <v>45</v>
      </c>
      <c r="J8320">
        <v>3.3059299E-2</v>
      </c>
      <c r="L8320">
        <v>196.4768</v>
      </c>
      <c r="M8320">
        <v>4</v>
      </c>
    </row>
    <row r="8321" spans="1:13" x14ac:dyDescent="0.3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v>8321</v>
      </c>
      <c r="C8322" t="s">
        <v>1237</v>
      </c>
      <c r="D8322" t="s">
        <v>12</v>
      </c>
      <c r="E8322">
        <v>2018</v>
      </c>
      <c r="F8322" t="s">
        <v>44</v>
      </c>
      <c r="G8322" t="s">
        <v>21</v>
      </c>
      <c r="H8322" t="s">
        <v>15</v>
      </c>
      <c r="I8322" t="s">
        <v>45</v>
      </c>
      <c r="J8322">
        <v>0.173529036</v>
      </c>
      <c r="L8322">
        <v>113.2834</v>
      </c>
      <c r="M8322">
        <v>4</v>
      </c>
    </row>
    <row r="8323" spans="1:13" x14ac:dyDescent="0.3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v>8338</v>
      </c>
      <c r="C8339" t="s">
        <v>496</v>
      </c>
      <c r="D8339" t="s">
        <v>19</v>
      </c>
      <c r="E8339">
        <v>2018</v>
      </c>
      <c r="F8339" t="s">
        <v>44</v>
      </c>
      <c r="G8339" t="s">
        <v>21</v>
      </c>
      <c r="H8339" t="s">
        <v>15</v>
      </c>
      <c r="I8339" t="s">
        <v>45</v>
      </c>
      <c r="J8339">
        <v>0</v>
      </c>
      <c r="L8339">
        <v>37.3506</v>
      </c>
      <c r="M8339">
        <v>4</v>
      </c>
    </row>
    <row r="8340" spans="1:13" x14ac:dyDescent="0.35">
      <c r="A8340" t="s">
        <v>17</v>
      </c>
      <c r="B8340">
        <v>8339</v>
      </c>
      <c r="C8340" t="s">
        <v>991</v>
      </c>
      <c r="D8340" t="s">
        <v>19</v>
      </c>
      <c r="E8340">
        <v>2018</v>
      </c>
      <c r="F8340" t="s">
        <v>44</v>
      </c>
      <c r="G8340" t="s">
        <v>21</v>
      </c>
      <c r="H8340" t="s">
        <v>15</v>
      </c>
      <c r="I8340" t="s">
        <v>45</v>
      </c>
      <c r="J8340">
        <v>0</v>
      </c>
      <c r="L8340">
        <v>100.80419999999999</v>
      </c>
      <c r="M8340">
        <v>4</v>
      </c>
    </row>
    <row r="8341" spans="1:13" x14ac:dyDescent="0.35">
      <c r="A8341" t="s">
        <v>17</v>
      </c>
      <c r="B8341">
        <v>8340</v>
      </c>
      <c r="C8341" t="s">
        <v>472</v>
      </c>
      <c r="D8341" t="s">
        <v>19</v>
      </c>
      <c r="E8341">
        <v>2018</v>
      </c>
      <c r="F8341" t="s">
        <v>44</v>
      </c>
      <c r="G8341" t="s">
        <v>21</v>
      </c>
      <c r="H8341" t="s">
        <v>15</v>
      </c>
      <c r="I8341" t="s">
        <v>45</v>
      </c>
      <c r="J8341">
        <v>4.7665717000000003E-2</v>
      </c>
      <c r="L8341">
        <v>42.177</v>
      </c>
      <c r="M8341">
        <v>4</v>
      </c>
    </row>
    <row r="8342" spans="1:13" x14ac:dyDescent="0.3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v>8344</v>
      </c>
      <c r="C8345" t="s">
        <v>237</v>
      </c>
      <c r="D8345" t="s">
        <v>19</v>
      </c>
      <c r="E8345">
        <v>2018</v>
      </c>
      <c r="F8345" t="s">
        <v>44</v>
      </c>
      <c r="G8345" t="s">
        <v>21</v>
      </c>
      <c r="H8345" t="s">
        <v>15</v>
      </c>
      <c r="I8345" t="s">
        <v>45</v>
      </c>
      <c r="J8345">
        <v>0</v>
      </c>
      <c r="L8345">
        <v>152.07079999999999</v>
      </c>
      <c r="M8345">
        <v>4</v>
      </c>
    </row>
    <row r="8346" spans="1:13" x14ac:dyDescent="0.3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v>8346</v>
      </c>
      <c r="C8347" t="s">
        <v>210</v>
      </c>
      <c r="D8347" t="s">
        <v>19</v>
      </c>
      <c r="E8347">
        <v>2018</v>
      </c>
      <c r="F8347" t="s">
        <v>44</v>
      </c>
      <c r="G8347" t="s">
        <v>21</v>
      </c>
      <c r="H8347" t="s">
        <v>15</v>
      </c>
      <c r="I8347" t="s">
        <v>45</v>
      </c>
      <c r="J8347">
        <v>2.426524E-2</v>
      </c>
      <c r="L8347">
        <v>114.0492</v>
      </c>
      <c r="M8347">
        <v>4</v>
      </c>
    </row>
    <row r="8348" spans="1:13" x14ac:dyDescent="0.3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v>8361</v>
      </c>
      <c r="C8362" t="s">
        <v>1150</v>
      </c>
      <c r="D8362" t="s">
        <v>41</v>
      </c>
      <c r="E8362">
        <v>2018</v>
      </c>
      <c r="F8362" t="s">
        <v>44</v>
      </c>
      <c r="G8362" t="s">
        <v>21</v>
      </c>
      <c r="H8362" t="s">
        <v>15</v>
      </c>
      <c r="I8362" t="s">
        <v>45</v>
      </c>
      <c r="J8362">
        <v>8.8551694E-2</v>
      </c>
      <c r="L8362">
        <v>191.5504</v>
      </c>
      <c r="M8362">
        <v>4</v>
      </c>
    </row>
    <row r="8363" spans="1:13" x14ac:dyDescent="0.3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v>8368</v>
      </c>
      <c r="C8369" t="s">
        <v>671</v>
      </c>
      <c r="D8369" t="s">
        <v>41</v>
      </c>
      <c r="E8369">
        <v>2018</v>
      </c>
      <c r="F8369" t="s">
        <v>44</v>
      </c>
      <c r="G8369" t="s">
        <v>21</v>
      </c>
      <c r="H8369" t="s">
        <v>15</v>
      </c>
      <c r="I8369" t="s">
        <v>45</v>
      </c>
      <c r="J8369">
        <v>2.6938317E-2</v>
      </c>
      <c r="L8369">
        <v>174.1396</v>
      </c>
      <c r="M8369">
        <v>4</v>
      </c>
    </row>
    <row r="8370" spans="1:13" x14ac:dyDescent="0.3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v>8374</v>
      </c>
      <c r="C8375" t="s">
        <v>741</v>
      </c>
      <c r="D8375" t="s">
        <v>41</v>
      </c>
      <c r="E8375">
        <v>2018</v>
      </c>
      <c r="F8375" t="s">
        <v>44</v>
      </c>
      <c r="G8375" t="s">
        <v>21</v>
      </c>
      <c r="H8375" t="s">
        <v>15</v>
      </c>
      <c r="I8375" t="s">
        <v>45</v>
      </c>
      <c r="J8375">
        <v>0</v>
      </c>
      <c r="L8375">
        <v>115.2176</v>
      </c>
      <c r="M8375">
        <v>4</v>
      </c>
    </row>
    <row r="8376" spans="1:13" x14ac:dyDescent="0.3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v>8381</v>
      </c>
      <c r="C8382" t="s">
        <v>995</v>
      </c>
      <c r="D8382" t="s">
        <v>41</v>
      </c>
      <c r="E8382">
        <v>2018</v>
      </c>
      <c r="F8382" t="s">
        <v>44</v>
      </c>
      <c r="G8382" t="s">
        <v>21</v>
      </c>
      <c r="H8382" t="s">
        <v>15</v>
      </c>
      <c r="I8382" t="s">
        <v>45</v>
      </c>
      <c r="J8382">
        <v>0.176834351</v>
      </c>
      <c r="L8382">
        <v>172.1422</v>
      </c>
      <c r="M8382">
        <v>4</v>
      </c>
    </row>
    <row r="8383" spans="1:13" x14ac:dyDescent="0.35">
      <c r="A8383" t="s">
        <v>17</v>
      </c>
      <c r="B8383">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v>8383</v>
      </c>
      <c r="C8384" t="s">
        <v>1116</v>
      </c>
      <c r="D8384" t="s">
        <v>53</v>
      </c>
      <c r="E8384">
        <v>2018</v>
      </c>
      <c r="F8384" t="s">
        <v>44</v>
      </c>
      <c r="G8384" t="s">
        <v>21</v>
      </c>
      <c r="H8384" t="s">
        <v>15</v>
      </c>
      <c r="I8384" t="s">
        <v>45</v>
      </c>
      <c r="J8384">
        <v>3.9370913E-2</v>
      </c>
      <c r="L8384">
        <v>116.9808</v>
      </c>
      <c r="M8384">
        <v>4</v>
      </c>
    </row>
    <row r="8385" spans="1:13" x14ac:dyDescent="0.35">
      <c r="A8385" t="s">
        <v>17</v>
      </c>
      <c r="B8385">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v>8387</v>
      </c>
      <c r="C8388" t="s">
        <v>1298</v>
      </c>
      <c r="D8388" t="s">
        <v>152</v>
      </c>
      <c r="E8388">
        <v>2018</v>
      </c>
      <c r="F8388" t="s">
        <v>44</v>
      </c>
      <c r="G8388" t="s">
        <v>21</v>
      </c>
      <c r="H8388" t="s">
        <v>15</v>
      </c>
      <c r="I8388" t="s">
        <v>45</v>
      </c>
      <c r="J8388">
        <v>0</v>
      </c>
      <c r="L8388">
        <v>109.45959999999999</v>
      </c>
      <c r="M8388">
        <v>4</v>
      </c>
    </row>
    <row r="8389" spans="1:13" x14ac:dyDescent="0.3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v>8390</v>
      </c>
      <c r="C8391" t="s">
        <v>468</v>
      </c>
      <c r="D8391" t="s">
        <v>47</v>
      </c>
      <c r="E8391">
        <v>2018</v>
      </c>
      <c r="F8391" t="s">
        <v>44</v>
      </c>
      <c r="G8391" t="s">
        <v>21</v>
      </c>
      <c r="H8391" t="s">
        <v>15</v>
      </c>
      <c r="I8391" t="s">
        <v>45</v>
      </c>
      <c r="J8391">
        <v>9.3217569E-2</v>
      </c>
      <c r="L8391">
        <v>116.7834</v>
      </c>
      <c r="M8391">
        <v>4</v>
      </c>
    </row>
    <row r="8392" spans="1:13" x14ac:dyDescent="0.35">
      <c r="A8392" t="s">
        <v>17</v>
      </c>
      <c r="B8392">
        <v>8391</v>
      </c>
      <c r="C8392" t="s">
        <v>1041</v>
      </c>
      <c r="D8392" t="s">
        <v>47</v>
      </c>
      <c r="E8392">
        <v>2018</v>
      </c>
      <c r="F8392" t="s">
        <v>44</v>
      </c>
      <c r="G8392" t="s">
        <v>21</v>
      </c>
      <c r="H8392" t="s">
        <v>15</v>
      </c>
      <c r="I8392" t="s">
        <v>45</v>
      </c>
      <c r="J8392">
        <v>0</v>
      </c>
      <c r="L8392">
        <v>44.142800000000001</v>
      </c>
      <c r="M8392">
        <v>4</v>
      </c>
    </row>
    <row r="8393" spans="1:13" x14ac:dyDescent="0.3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v>8398</v>
      </c>
      <c r="C8399" t="s">
        <v>614</v>
      </c>
      <c r="D8399" t="s">
        <v>47</v>
      </c>
      <c r="E8399">
        <v>2018</v>
      </c>
      <c r="F8399" t="s">
        <v>44</v>
      </c>
      <c r="G8399" t="s">
        <v>21</v>
      </c>
      <c r="H8399" t="s">
        <v>15</v>
      </c>
      <c r="I8399" t="s">
        <v>45</v>
      </c>
      <c r="J8399">
        <v>3.6213953E-2</v>
      </c>
      <c r="L8399">
        <v>92.5488</v>
      </c>
      <c r="M8399">
        <v>4</v>
      </c>
    </row>
    <row r="8400" spans="1:13" x14ac:dyDescent="0.3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v>8405</v>
      </c>
      <c r="C8406" t="s">
        <v>1600</v>
      </c>
      <c r="D8406" t="s">
        <v>47</v>
      </c>
      <c r="E8406">
        <v>2018</v>
      </c>
      <c r="F8406" t="s">
        <v>44</v>
      </c>
      <c r="G8406" t="s">
        <v>21</v>
      </c>
      <c r="H8406" t="s">
        <v>15</v>
      </c>
      <c r="I8406" t="s">
        <v>45</v>
      </c>
      <c r="J8406">
        <v>0</v>
      </c>
      <c r="L8406">
        <v>151.67080000000001</v>
      </c>
      <c r="M8406">
        <v>4</v>
      </c>
    </row>
    <row r="8407" spans="1:13" x14ac:dyDescent="0.35">
      <c r="A8407" t="s">
        <v>17</v>
      </c>
      <c r="B8407">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v>8408</v>
      </c>
      <c r="C8409" t="s">
        <v>592</v>
      </c>
      <c r="D8409" t="s">
        <v>47</v>
      </c>
      <c r="E8409">
        <v>2018</v>
      </c>
      <c r="F8409" t="s">
        <v>44</v>
      </c>
      <c r="G8409" t="s">
        <v>21</v>
      </c>
      <c r="H8409" t="s">
        <v>15</v>
      </c>
      <c r="I8409" t="s">
        <v>45</v>
      </c>
      <c r="J8409">
        <v>0.13874251800000001</v>
      </c>
      <c r="L8409">
        <v>147.476</v>
      </c>
      <c r="M8409">
        <v>4</v>
      </c>
    </row>
    <row r="8410" spans="1:13" x14ac:dyDescent="0.35">
      <c r="A8410" t="s">
        <v>17</v>
      </c>
      <c r="B8410">
        <v>8409</v>
      </c>
      <c r="C8410" t="s">
        <v>655</v>
      </c>
      <c r="D8410" t="s">
        <v>47</v>
      </c>
      <c r="E8410">
        <v>2018</v>
      </c>
      <c r="F8410" t="s">
        <v>44</v>
      </c>
      <c r="G8410" t="s">
        <v>21</v>
      </c>
      <c r="H8410" t="s">
        <v>15</v>
      </c>
      <c r="I8410" t="s">
        <v>45</v>
      </c>
      <c r="J8410">
        <v>0.102941345</v>
      </c>
      <c r="L8410">
        <v>142.047</v>
      </c>
      <c r="M8410">
        <v>4</v>
      </c>
    </row>
    <row r="8411" spans="1:13" x14ac:dyDescent="0.35">
      <c r="A8411" t="s">
        <v>17</v>
      </c>
      <c r="B841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v>8424</v>
      </c>
      <c r="C8425" t="s">
        <v>833</v>
      </c>
      <c r="D8425" t="s">
        <v>158</v>
      </c>
      <c r="E8425">
        <v>2018</v>
      </c>
      <c r="F8425" t="s">
        <v>44</v>
      </c>
      <c r="G8425" t="s">
        <v>21</v>
      </c>
      <c r="H8425" t="s">
        <v>15</v>
      </c>
      <c r="I8425" t="s">
        <v>45</v>
      </c>
      <c r="J8425">
        <v>0</v>
      </c>
      <c r="L8425">
        <v>167.51580000000001</v>
      </c>
      <c r="M8425">
        <v>4</v>
      </c>
    </row>
    <row r="8426" spans="1:13" x14ac:dyDescent="0.3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v>8432</v>
      </c>
      <c r="C8433" t="s">
        <v>903</v>
      </c>
      <c r="D8433" t="s">
        <v>94</v>
      </c>
      <c r="E8433">
        <v>2018</v>
      </c>
      <c r="F8433" t="s">
        <v>44</v>
      </c>
      <c r="G8433" t="s">
        <v>21</v>
      </c>
      <c r="H8433" t="s">
        <v>15</v>
      </c>
      <c r="I8433" t="s">
        <v>45</v>
      </c>
      <c r="J8433">
        <v>0.10351785300000001</v>
      </c>
      <c r="L8433">
        <v>164.95</v>
      </c>
      <c r="M8433">
        <v>4</v>
      </c>
    </row>
    <row r="8434" spans="1:13" x14ac:dyDescent="0.35">
      <c r="A8434" t="s">
        <v>10</v>
      </c>
      <c r="B8434">
        <v>8433</v>
      </c>
      <c r="C8434" t="s">
        <v>1045</v>
      </c>
      <c r="D8434" t="s">
        <v>56</v>
      </c>
      <c r="E8434">
        <v>2018</v>
      </c>
      <c r="F8434" t="s">
        <v>44</v>
      </c>
      <c r="G8434" t="s">
        <v>21</v>
      </c>
      <c r="H8434" t="s">
        <v>15</v>
      </c>
      <c r="I8434" t="s">
        <v>45</v>
      </c>
      <c r="J8434">
        <v>0</v>
      </c>
      <c r="L8434">
        <v>84.590800000000002</v>
      </c>
      <c r="M8434">
        <v>4</v>
      </c>
    </row>
    <row r="8435" spans="1:13" x14ac:dyDescent="0.3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v>8452</v>
      </c>
      <c r="C8453" t="s">
        <v>396</v>
      </c>
      <c r="D8453" t="s">
        <v>66</v>
      </c>
      <c r="E8453">
        <v>2018</v>
      </c>
      <c r="F8453" t="s">
        <v>44</v>
      </c>
      <c r="G8453" t="s">
        <v>21</v>
      </c>
      <c r="H8453" t="s">
        <v>15</v>
      </c>
      <c r="I8453" t="s">
        <v>45</v>
      </c>
      <c r="J8453">
        <v>0.18240726600000001</v>
      </c>
      <c r="L8453">
        <v>109.157</v>
      </c>
      <c r="M8453">
        <v>4</v>
      </c>
    </row>
    <row r="8454" spans="1:13" x14ac:dyDescent="0.3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v>8456</v>
      </c>
      <c r="C8457" t="s">
        <v>1399</v>
      </c>
      <c r="D8457" t="s">
        <v>66</v>
      </c>
      <c r="E8457">
        <v>2018</v>
      </c>
      <c r="F8457" t="s">
        <v>44</v>
      </c>
      <c r="G8457" t="s">
        <v>21</v>
      </c>
      <c r="H8457" t="s">
        <v>15</v>
      </c>
      <c r="I8457" t="s">
        <v>45</v>
      </c>
      <c r="J8457">
        <v>0</v>
      </c>
      <c r="L8457">
        <v>196.4794</v>
      </c>
      <c r="M8457">
        <v>4</v>
      </c>
    </row>
    <row r="8458" spans="1:13" x14ac:dyDescent="0.35">
      <c r="A8458" t="s">
        <v>10</v>
      </c>
      <c r="B8458">
        <v>8457</v>
      </c>
      <c r="C8458" t="s">
        <v>1307</v>
      </c>
      <c r="D8458" t="s">
        <v>66</v>
      </c>
      <c r="E8458">
        <v>2018</v>
      </c>
      <c r="F8458" t="s">
        <v>44</v>
      </c>
      <c r="G8458" t="s">
        <v>21</v>
      </c>
      <c r="H8458" t="s">
        <v>15</v>
      </c>
      <c r="I8458" t="s">
        <v>45</v>
      </c>
      <c r="J8458">
        <v>0.127108578</v>
      </c>
      <c r="L8458">
        <v>120.744</v>
      </c>
      <c r="M8458">
        <v>4</v>
      </c>
    </row>
    <row r="8459" spans="1:13" x14ac:dyDescent="0.3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v>8463</v>
      </c>
      <c r="C8464" t="s">
        <v>701</v>
      </c>
      <c r="D8464" t="s">
        <v>66</v>
      </c>
      <c r="E8464">
        <v>2018</v>
      </c>
      <c r="F8464" t="s">
        <v>44</v>
      </c>
      <c r="G8464" t="s">
        <v>21</v>
      </c>
      <c r="H8464" t="s">
        <v>15</v>
      </c>
      <c r="I8464" t="s">
        <v>45</v>
      </c>
      <c r="J8464">
        <v>4.7358246E-2</v>
      </c>
      <c r="L8464">
        <v>123.1756</v>
      </c>
      <c r="M8464">
        <v>4</v>
      </c>
    </row>
    <row r="8465" spans="1:13" x14ac:dyDescent="0.35">
      <c r="A8465" t="s">
        <v>10</v>
      </c>
      <c r="B8465">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v>8470</v>
      </c>
      <c r="C8471" t="s">
        <v>1486</v>
      </c>
      <c r="D8471" t="s">
        <v>24</v>
      </c>
      <c r="E8471">
        <v>2018</v>
      </c>
      <c r="F8471" t="s">
        <v>44</v>
      </c>
      <c r="G8471" t="s">
        <v>21</v>
      </c>
      <c r="H8471" t="s">
        <v>15</v>
      </c>
      <c r="I8471" t="s">
        <v>45</v>
      </c>
      <c r="J8471">
        <v>0</v>
      </c>
      <c r="L8471">
        <v>145.27600000000001</v>
      </c>
      <c r="M8471">
        <v>4</v>
      </c>
    </row>
    <row r="8472" spans="1:13" x14ac:dyDescent="0.3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v>8474</v>
      </c>
      <c r="C8475" t="s">
        <v>339</v>
      </c>
      <c r="D8475" t="s">
        <v>24</v>
      </c>
      <c r="E8475">
        <v>2018</v>
      </c>
      <c r="F8475" t="s">
        <v>44</v>
      </c>
      <c r="G8475" t="s">
        <v>21</v>
      </c>
      <c r="H8475" t="s">
        <v>15</v>
      </c>
      <c r="I8475" t="s">
        <v>45</v>
      </c>
      <c r="J8475">
        <v>0.159081735</v>
      </c>
      <c r="L8475">
        <v>193.5478</v>
      </c>
      <c r="M8475">
        <v>4</v>
      </c>
    </row>
    <row r="8476" spans="1:13" x14ac:dyDescent="0.35">
      <c r="A8476" t="s">
        <v>10</v>
      </c>
      <c r="B8476">
        <v>8475</v>
      </c>
      <c r="C8476" t="s">
        <v>1156</v>
      </c>
      <c r="D8476" t="s">
        <v>12</v>
      </c>
      <c r="E8476">
        <v>2018</v>
      </c>
      <c r="F8476" t="s">
        <v>44</v>
      </c>
      <c r="G8476" t="s">
        <v>21</v>
      </c>
      <c r="H8476" t="s">
        <v>15</v>
      </c>
      <c r="I8476" t="s">
        <v>45</v>
      </c>
      <c r="J8476">
        <v>3.0794774E-2</v>
      </c>
      <c r="L8476">
        <v>122.9072</v>
      </c>
      <c r="M8476">
        <v>4</v>
      </c>
    </row>
    <row r="8477" spans="1:13" x14ac:dyDescent="0.3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v>8479</v>
      </c>
      <c r="C8480" t="s">
        <v>1535</v>
      </c>
      <c r="D8480" t="s">
        <v>12</v>
      </c>
      <c r="E8480">
        <v>2018</v>
      </c>
      <c r="F8480" t="s">
        <v>44</v>
      </c>
      <c r="G8480" t="s">
        <v>21</v>
      </c>
      <c r="H8480" t="s">
        <v>15</v>
      </c>
      <c r="I8480" t="s">
        <v>45</v>
      </c>
      <c r="J8480">
        <v>0.106538757</v>
      </c>
      <c r="L8480">
        <v>145.4786</v>
      </c>
      <c r="M8480">
        <v>4</v>
      </c>
    </row>
    <row r="8481" spans="1:13" x14ac:dyDescent="0.3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v>8484</v>
      </c>
      <c r="C8485" t="s">
        <v>580</v>
      </c>
      <c r="D8485" t="s">
        <v>12</v>
      </c>
      <c r="E8485">
        <v>2018</v>
      </c>
      <c r="F8485" t="s">
        <v>44</v>
      </c>
      <c r="G8485" t="s">
        <v>21</v>
      </c>
      <c r="H8485" t="s">
        <v>15</v>
      </c>
      <c r="I8485" t="s">
        <v>45</v>
      </c>
      <c r="J8485">
        <v>0.115032648</v>
      </c>
      <c r="L8485">
        <v>58.0246</v>
      </c>
      <c r="M8485">
        <v>4</v>
      </c>
    </row>
    <row r="8486" spans="1:13" x14ac:dyDescent="0.3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v>8492</v>
      </c>
      <c r="C8493" t="s">
        <v>1012</v>
      </c>
      <c r="D8493" t="s">
        <v>53</v>
      </c>
      <c r="E8493">
        <v>2018</v>
      </c>
      <c r="F8493" t="s">
        <v>44</v>
      </c>
      <c r="G8493" t="s">
        <v>21</v>
      </c>
      <c r="H8493" t="s">
        <v>15</v>
      </c>
      <c r="I8493" t="s">
        <v>45</v>
      </c>
      <c r="J8493">
        <v>0.157701958</v>
      </c>
      <c r="L8493">
        <v>158.7946</v>
      </c>
      <c r="M8493">
        <v>4</v>
      </c>
    </row>
    <row r="8494" spans="1:13" x14ac:dyDescent="0.3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v>8519</v>
      </c>
      <c r="C8520" t="s">
        <v>236</v>
      </c>
      <c r="D8520" t="s">
        <v>19</v>
      </c>
      <c r="E8520">
        <v>2018</v>
      </c>
      <c r="F8520" t="s">
        <v>44</v>
      </c>
      <c r="G8520" t="s">
        <v>21</v>
      </c>
      <c r="H8520" t="s">
        <v>15</v>
      </c>
      <c r="I8520" t="s">
        <v>45</v>
      </c>
      <c r="J8520">
        <v>0</v>
      </c>
      <c r="L8520">
        <v>164.55260000000001</v>
      </c>
      <c r="M8520">
        <v>4</v>
      </c>
    </row>
    <row r="8521" spans="1:13" x14ac:dyDescent="0.3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&amp; charts</vt:lpstr>
      <vt:lpstr>Dashboard</vt:lpstr>
      <vt:lpstr>BlinkIT Grocery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USER</cp:lastModifiedBy>
  <dcterms:created xsi:type="dcterms:W3CDTF">2024-06-23T13:11:17Z</dcterms:created>
  <dcterms:modified xsi:type="dcterms:W3CDTF">2026-07-29T05:47:27Z</dcterms:modified>
</cp:coreProperties>
</file>